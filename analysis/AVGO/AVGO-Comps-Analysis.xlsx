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perating Metric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Growth &amp; AI Exposure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i val="1"/>
      <color rgb="00595959"/>
      <sz val="10"/>
    </font>
    <font>
      <name val="Times New Roman"/>
      <color rgb="00000000"/>
      <sz val="11"/>
    </font>
    <font>
      <name val="Times New Roman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2" fillId="4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AVGO comps</author>
  </authors>
  <commentList>
    <comment ref="C7" authorId="0" shapeId="0">
      <text>
        <t>AVGO ~$460/sh x ~4.73B sh, June 1 2026 (~$2.18T)</t>
      </text>
    </comment>
    <comment ref="D7" authorId="0" shapeId="0">
      <text>
        <t>Net debt = $66.06B debt - $14.2B cash (Q1 FY26 8-K, Feb 1 2026)</t>
      </text>
    </comment>
    <comment ref="E7" authorId="0" shapeId="0">
      <text>
        <t>[E] TTM revenue ~$68.3B (FY25 $63.9B + Q1 FY26 step-up)</t>
      </text>
    </comment>
    <comment ref="F7" authorId="0" shapeId="0">
      <text>
        <t>Q1 FY26 revenue +29% YoY (Broadcom IR, Mar 2026)</t>
      </text>
    </comment>
    <comment ref="G7" authorId="0" shapeId="0">
      <text>
        <t>[E] GAAP gross margin ~68% (non-GAAP ~77%); Q1 FY26</t>
      </text>
    </comment>
    <comment ref="H7" authorId="0" shapeId="0">
      <text>
        <t>[E] TTM GAAP EBITDA ~$40.5B (NI + interest + tax + D&amp;A; adj. EBITDA ~$46B)</t>
      </text>
    </comment>
    <comment ref="I7" authorId="0" shapeId="0">
      <text>
        <t>[E] TTM GAAP net income ~$25.0B</t>
      </text>
    </comment>
    <comment ref="J7" authorId="0" shapeId="0">
      <text>
        <t>Forward P/E ~31x (StockAnalysis, consensus FY26-27)</t>
      </text>
    </comment>
    <comment ref="C8" authorId="0" shapeId="0">
      <text>
        <t>NVDA ~$225.6/sh, June 2 2026 (~$5.46T) (companiesmarketcap)</t>
      </text>
    </comment>
    <comment ref="D8" authorId="0" shapeId="0">
      <text>
        <t>[E] Net cash: debt $8.47B - cash&amp;equiv $13.2B (Q1 FY27 10-Q); much larger incl. marketable securities</t>
      </text>
    </comment>
    <comment ref="E8" authorId="0" shapeId="0">
      <text>
        <t>TTM revenue ~$253.5B (GuruFocus; consistent w/ Q1 FY27 $81.6B run-rate)</t>
      </text>
    </comment>
    <comment ref="F8" authorId="0" shapeId="0">
      <text>
        <t>Q1 FY27 (Apr 2026) revenue +85% YoY (NVIDIA newsroom)</t>
      </text>
    </comment>
    <comment ref="G8" authorId="0" shapeId="0">
      <text>
        <t>GAAP gross margin 74.9% Q1 FY27</t>
      </text>
    </comment>
    <comment ref="H8" authorId="0" shapeId="0">
      <text>
        <t>TTM EBITDA ~$174.4B (valueinvesting.io)</t>
      </text>
    </comment>
    <comment ref="I8" authorId="0" shapeId="0">
      <text>
        <t>TTM net income ~$159.6B (Macrotrends)</t>
      </text>
    </comment>
    <comment ref="J8" authorId="0" shapeId="0">
      <text>
        <t>[E] Forward P/E ~26x (consensus)</t>
      </text>
    </comment>
    <comment ref="C9" authorId="0" shapeId="0">
      <text>
        <t>AMD ~$510/sh, June 2 2026 (~$839B) (companiesmarketcap)</t>
      </text>
    </comment>
    <comment ref="D9" authorId="0" shapeId="0">
      <text>
        <t>Net cash ~$9.1B: cash+ST inv $12.35B - debt $3.22B (Q1 2026 10-Q)</t>
      </text>
    </comment>
    <comment ref="E9" authorId="0" shapeId="0">
      <text>
        <t>TTM revenue $37.45B (Macrotrends)</t>
      </text>
    </comment>
    <comment ref="F9" authorId="0" shapeId="0">
      <text>
        <t>Q1 2026 revenue +38% YoY (8-K); Data Center $5.8B +57%</t>
      </text>
    </comment>
    <comment ref="G9" authorId="0" shapeId="0">
      <text>
        <t>GAAP gross margin ~53% Q1 2026</t>
      </text>
    </comment>
    <comment ref="H9" authorId="0" shapeId="0">
      <text>
        <t>TTM EBITDA ~$8.09B (GuruFocus)</t>
      </text>
    </comment>
    <comment ref="I9" authorId="0" shapeId="0">
      <text>
        <t>[E] TTM net income ~$5.0B (FY25 $4.3B + ramp; GAAP)</t>
      </text>
    </comment>
    <comment ref="J9" authorId="0" shapeId="0">
      <text>
        <t>[E] Forward P/E ~33x (consensus)</t>
      </text>
    </comment>
    <comment ref="C10" authorId="0" shapeId="0">
      <text>
        <t>MRVL ~$291/sh, June 2 2026 (~$192B); +51% on Jensen Huang endorsement</t>
      </text>
    </comment>
    <comment ref="D10" authorId="0" shapeId="0">
      <text>
        <t>Net debt ~$1.43B: cash $3.84B - debt $5.28B (StockAnalysis)</t>
      </text>
    </comment>
    <comment ref="E10" authorId="0" shapeId="0">
      <text>
        <t>[E] TTM revenue ~$8.6B (Q1 FY27 $2.418B run-rate; FY27 guide ~$11.5B)</t>
      </text>
    </comment>
    <comment ref="F10" authorId="0" shapeId="0">
      <text>
        <t>Q1 FY27 revenue +28% YoY; Data Center 76% of revenue</t>
      </text>
    </comment>
    <comment ref="G10" authorId="0" shapeId="0">
      <text>
        <t>GAAP gross margin 52.1% (non-GAAP 58.9%) Q1 FY27</t>
      </text>
    </comment>
    <comment ref="H10" authorId="0" shapeId="0">
      <text>
        <t>[E] TTM EBITDA ~$3.0B (derived from leverage ratios / EV-EBITDA)</t>
      </text>
    </comment>
    <comment ref="I10" authorId="0" shapeId="0">
      <text>
        <t>[E] TTM GAAP net income ~$0.3B (depressed by amortization; non-GAAP MRQ $718M)</t>
      </text>
    </comment>
    <comment ref="J10" authorId="0" shapeId="0">
      <text>
        <t>Forward P/E ~48x (StockAnalysis)</t>
      </text>
    </comment>
    <comment ref="C11" authorId="0" shapeId="0">
      <text>
        <t>QCOM ~$181/sh mid-May 2026 (~$215B); date-sensitive (range $137-254B)</t>
      </text>
    </comment>
    <comment ref="D11" authorId="0" shapeId="0">
      <text>
        <t>Net debt ~$5.5B: cash+ST sec $9.8B - debt $15.27B (Q2 FY26 10-Q)</t>
      </text>
    </comment>
    <comment ref="E11" authorId="0" shapeId="0">
      <text>
        <t>TTM revenue ~$44.49B (Macrotrends)</t>
      </text>
    </comment>
    <comment ref="F11" authorId="0" shapeId="0">
      <text>
        <t>[E] Q2 FY26 revenue ~-3% YoY (handset softness; auto/IoT grew)</t>
      </text>
    </comment>
    <comment ref="G11" authorId="0" shapeId="0">
      <text>
        <t>GAAP gross margin ~54% Q2 FY26</t>
      </text>
    </comment>
    <comment ref="H11" authorId="0" shapeId="0">
      <text>
        <t>TTM EBITDA ~$13.96B (GuruFocus)</t>
      </text>
    </comment>
    <comment ref="I11" authorId="0" shapeId="0">
      <text>
        <t>[E] TTM net income ~$9.9B underlying (excl. one-time $5.7B Q2 tax benefit)</t>
      </text>
    </comment>
    <comment ref="J11" authorId="0" shapeId="0">
      <text>
        <t>[E] Forward P/E ~14x (consensus; cheap on mature-semi de-rating)</t>
      </text>
    </comment>
    <comment ref="C12" authorId="0" shapeId="0">
      <text>
        <t>TXN ~$287B mid-May 2026 (Macrotrends); date-sensitive</t>
      </text>
    </comment>
    <comment ref="D12" authorId="0" shapeId="0">
      <text>
        <t>Net debt ~$8B: cash+ST inv $5.1B - debt $13.05B (Q1 2026 10-Q)</t>
      </text>
    </comment>
    <comment ref="E12" authorId="0" shapeId="0">
      <text>
        <t>TTM revenue ~$18.44B (StockAnalysis)</t>
      </text>
    </comment>
    <comment ref="F12" authorId="0" shapeId="0">
      <text>
        <t>Q1 2026 revenue +19% YoY (industrial + data center led)</t>
      </text>
    </comment>
    <comment ref="G12" authorId="0" shapeId="0">
      <text>
        <t>GAAP gross margin ~58% Q1 2026</t>
      </text>
    </comment>
    <comment ref="H12" authorId="0" shapeId="0">
      <text>
        <t>TTM EBITDA ~$8.82B (GuruFocus)</t>
      </text>
    </comment>
    <comment ref="I12" authorId="0" shapeId="0">
      <text>
        <t>TTM net income ~$5.37B (Macrotrends)</t>
      </text>
    </comment>
    <comment ref="J12" authorId="0" shapeId="0">
      <text>
        <t>[E] Forward P/E ~30x (consensus; earnings cyclically depressed by capex cycle)</t>
      </text>
    </comment>
    <comment ref="C13" authorId="0" shapeId="0">
      <text>
        <t>[E] ORCL ~$640B early June 2026 (rose from ~$550B May toward ~$718B on OCI momentum)</t>
      </text>
    </comment>
    <comment ref="D13" authorId="0" shapeId="0">
      <text>
        <t>Net debt ~$96B: debt ~$108B - cash ~$11B (Q3 FY26; +$30B raised Feb 2026 for AI buildout)</t>
      </text>
    </comment>
    <comment ref="E13" authorId="0" shapeId="0">
      <text>
        <t>TTM revenue ~$64.08B (Macrotrends)</t>
      </text>
    </comment>
    <comment ref="F13" authorId="0" shapeId="0">
      <text>
        <t>Q3 FY26 revenue +22% YoY USD; Cloud +44%, OCI +84%; RPO ~$553B (+325%)</t>
      </text>
    </comment>
    <comment ref="G13" authorId="0" shapeId="0">
      <text>
        <t>[E] Blended gross margin ~70% (declining as low-margin OCI scales; OCI GM ~32%)</t>
      </text>
    </comment>
    <comment ref="H13" authorId="0" shapeId="0">
      <text>
        <t>TTM EBITDA ~$30.62B (GuruFocus)</t>
      </text>
    </comment>
    <comment ref="I13" authorId="0" shapeId="0">
      <text>
        <t>TTM net income ~$16.2B (+33% YoY) (Macrotrends)</t>
      </text>
    </comment>
    <comment ref="J13" authorId="0" shapeId="0">
      <text>
        <t>[E] Forward P/E ~28x (consensus; AI-capex growth premium)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1" customWidth="1" min="4" max="4"/>
    <col width="14" customWidth="1" min="5" max="5"/>
    <col width="13" customWidth="1" min="6" max="6"/>
    <col width="14" customWidth="1" min="7" max="7"/>
    <col width="14" customWidth="1" min="8" max="8"/>
    <col width="16" customWidth="1" min="9" max="9"/>
    <col width="10" customWidth="1" min="10" max="10"/>
    <col width="22" customWidth="1" min="11" max="11"/>
  </cols>
  <sheetData>
    <row r="1">
      <c r="A1" s="1" t="inlineStr">
        <is>
          <t>AI SEMICONDUCTORS &amp; INFRASTRUCTURE SOFTWARE — COMPARABLE COMPANY ANALYSIS</t>
        </is>
      </c>
    </row>
    <row r="2">
      <c r="A2" s="2" t="inlineStr">
        <is>
          <t>Broadcom (AVGO) • NVIDIA (NVDA) • AMD (AMD) • Marvell Technology (MRVL) • Qualcomm (QCOM) • Texas Instruments (TXN) • Oracle (ORCL)</t>
        </is>
      </c>
    </row>
    <row r="3">
      <c r="A3" s="3" t="inlineStr">
        <is>
          <t>As of ~June 1, 2026 | $ in millions except ratios | Stats computed over the 5 semis peers (NVDA, AMD, MRVL, QCOM, TXN); AVGO = target, ORCL = software anchor (memo)</t>
        </is>
      </c>
    </row>
    <row r="5">
      <c r="A5" s="1" t="inlineStr">
        <is>
          <t>RAW INPUTS — cell comments cite source / assumption</t>
        </is>
      </c>
    </row>
    <row r="6">
      <c r="A6" s="4" t="inlineStr">
        <is>
          <t>Company</t>
        </is>
      </c>
      <c r="B6" s="4" t="inlineStr">
        <is>
          <t>Ticker</t>
        </is>
      </c>
      <c r="C6" s="4" t="inlineStr">
        <is>
          <t>Mkt Cap</t>
        </is>
      </c>
      <c r="D6" s="4" t="inlineStr">
        <is>
          <t>Net Debt</t>
        </is>
      </c>
      <c r="E6" s="4" t="inlineStr">
        <is>
          <t>Revenue (TTM)</t>
        </is>
      </c>
      <c r="F6" s="4" t="inlineStr">
        <is>
          <t>Rev Growth %</t>
        </is>
      </c>
      <c r="G6" s="4" t="inlineStr">
        <is>
          <t>Gross Margin %</t>
        </is>
      </c>
      <c r="H6" s="4" t="inlineStr">
        <is>
          <t>EBITDA (TTM)</t>
        </is>
      </c>
      <c r="I6" s="4" t="inlineStr">
        <is>
          <t>Net Income (TTM)</t>
        </is>
      </c>
      <c r="J6" s="4" t="inlineStr">
        <is>
          <t>Fwd P/E</t>
        </is>
      </c>
      <c r="K6" s="4" t="inlineStr">
        <is>
          <t>Notes</t>
        </is>
      </c>
    </row>
    <row r="7">
      <c r="A7" s="5" t="inlineStr">
        <is>
          <t>Broadcom</t>
        </is>
      </c>
      <c r="B7" s="6" t="inlineStr">
        <is>
          <t>AVGO</t>
        </is>
      </c>
      <c r="C7" s="7" t="n">
        <v>2175800</v>
      </c>
      <c r="D7" s="7" t="n">
        <v>51857</v>
      </c>
      <c r="E7" s="7" t="n">
        <v>68300</v>
      </c>
      <c r="F7" s="8" t="n">
        <v>0.29</v>
      </c>
      <c r="G7" s="8" t="n">
        <v>0.68</v>
      </c>
      <c r="H7" s="7" t="n">
        <v>40500</v>
      </c>
      <c r="I7" s="7" t="n">
        <v>25000</v>
      </c>
      <c r="J7" s="9" t="n">
        <v>31</v>
      </c>
      <c r="K7" s="10" t="inlineStr">
        <is>
          <t>TARGET</t>
        </is>
      </c>
    </row>
    <row r="8">
      <c r="A8" s="5" t="inlineStr">
        <is>
          <t>NVIDIA</t>
        </is>
      </c>
      <c r="B8" s="6" t="inlineStr">
        <is>
          <t>NVDA</t>
        </is>
      </c>
      <c r="C8" s="7" t="n">
        <v>5460000</v>
      </c>
      <c r="D8" s="7" t="n">
        <v>-4700</v>
      </c>
      <c r="E8" s="7" t="n">
        <v>253500</v>
      </c>
      <c r="F8" s="8" t="n">
        <v>0.85</v>
      </c>
      <c r="G8" s="8" t="n">
        <v>0.749</v>
      </c>
      <c r="H8" s="7" t="n">
        <v>174400</v>
      </c>
      <c r="I8" s="7" t="n">
        <v>159600</v>
      </c>
      <c r="J8" s="9" t="n">
        <v>26</v>
      </c>
      <c r="K8" s="10" t="inlineStr"/>
    </row>
    <row r="9">
      <c r="A9" s="5" t="inlineStr">
        <is>
          <t>AMD</t>
        </is>
      </c>
      <c r="B9" s="6" t="inlineStr">
        <is>
          <t>AMD</t>
        </is>
      </c>
      <c r="C9" s="7" t="n">
        <v>839000</v>
      </c>
      <c r="D9" s="7" t="n">
        <v>-9100</v>
      </c>
      <c r="E9" s="7" t="n">
        <v>37450</v>
      </c>
      <c r="F9" s="8" t="n">
        <v>0.38</v>
      </c>
      <c r="G9" s="8" t="n">
        <v>0.53</v>
      </c>
      <c r="H9" s="7" t="n">
        <v>8090</v>
      </c>
      <c r="I9" s="7" t="n">
        <v>5000</v>
      </c>
      <c r="J9" s="9" t="n">
        <v>33</v>
      </c>
      <c r="K9" s="10" t="inlineStr"/>
    </row>
    <row r="10">
      <c r="A10" s="5" t="inlineStr">
        <is>
          <t>Marvell Technology</t>
        </is>
      </c>
      <c r="B10" s="6" t="inlineStr">
        <is>
          <t>MRVL</t>
        </is>
      </c>
      <c r="C10" s="7" t="n">
        <v>192000</v>
      </c>
      <c r="D10" s="7" t="n">
        <v>1430</v>
      </c>
      <c r="E10" s="7" t="n">
        <v>8600</v>
      </c>
      <c r="F10" s="8" t="n">
        <v>0.28</v>
      </c>
      <c r="G10" s="8" t="n">
        <v>0.521</v>
      </c>
      <c r="H10" s="7" t="n">
        <v>3000</v>
      </c>
      <c r="I10" s="7" t="n">
        <v>300</v>
      </c>
      <c r="J10" s="9" t="n">
        <v>48</v>
      </c>
      <c r="K10" s="10" t="inlineStr"/>
    </row>
    <row r="11">
      <c r="A11" s="5" t="inlineStr">
        <is>
          <t>Qualcomm</t>
        </is>
      </c>
      <c r="B11" s="6" t="inlineStr">
        <is>
          <t>QCOM</t>
        </is>
      </c>
      <c r="C11" s="7" t="n">
        <v>215000</v>
      </c>
      <c r="D11" s="7" t="n">
        <v>5500</v>
      </c>
      <c r="E11" s="7" t="n">
        <v>44490</v>
      </c>
      <c r="F11" s="8" t="n">
        <v>-0.03</v>
      </c>
      <c r="G11" s="8" t="n">
        <v>0.54</v>
      </c>
      <c r="H11" s="7" t="n">
        <v>13956</v>
      </c>
      <c r="I11" s="7" t="n">
        <v>9900</v>
      </c>
      <c r="J11" s="9" t="n">
        <v>14</v>
      </c>
      <c r="K11" s="10" t="inlineStr"/>
    </row>
    <row r="12">
      <c r="A12" s="5" t="inlineStr">
        <is>
          <t>Texas Instruments</t>
        </is>
      </c>
      <c r="B12" s="6" t="inlineStr">
        <is>
          <t>TXN</t>
        </is>
      </c>
      <c r="C12" s="7" t="n">
        <v>287000</v>
      </c>
      <c r="D12" s="7" t="n">
        <v>8000</v>
      </c>
      <c r="E12" s="7" t="n">
        <v>18440</v>
      </c>
      <c r="F12" s="8" t="n">
        <v>0.19</v>
      </c>
      <c r="G12" s="8" t="n">
        <v>0.58</v>
      </c>
      <c r="H12" s="7" t="n">
        <v>8821</v>
      </c>
      <c r="I12" s="7" t="n">
        <v>5370</v>
      </c>
      <c r="J12" s="9" t="n">
        <v>30</v>
      </c>
      <c r="K12" s="10" t="inlineStr"/>
    </row>
    <row r="13">
      <c r="A13" s="5" t="inlineStr">
        <is>
          <t>Oracle</t>
        </is>
      </c>
      <c r="B13" s="6" t="inlineStr">
        <is>
          <t>ORCL</t>
        </is>
      </c>
      <c r="C13" s="7" t="n">
        <v>640000</v>
      </c>
      <c r="D13" s="7" t="n">
        <v>96000</v>
      </c>
      <c r="E13" s="7" t="n">
        <v>64080</v>
      </c>
      <c r="F13" s="8" t="n">
        <v>0.22</v>
      </c>
      <c r="G13" s="8" t="n">
        <v>0.7</v>
      </c>
      <c r="H13" s="7" t="n">
        <v>30618</v>
      </c>
      <c r="I13" s="7" t="n">
        <v>16200</v>
      </c>
      <c r="J13" s="9" t="n">
        <v>28</v>
      </c>
      <c r="K13" s="10" t="inlineStr">
        <is>
          <t>SOFTWARE ANCHOR (memo)</t>
        </is>
      </c>
    </row>
  </sheetData>
  <mergeCells count="4">
    <mergeCell ref="A2:K2"/>
    <mergeCell ref="A1:K1"/>
    <mergeCell ref="A5:K5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OPERATING STATISTICS &amp; FINANCIAL METRICS</t>
        </is>
      </c>
    </row>
    <row r="2">
      <c r="A2" s="3" t="inlineStr">
        <is>
          <t>Formulas reference Inputs tab. Stats over the 5 semis peers only.</t>
        </is>
      </c>
    </row>
    <row r="6">
      <c r="A6" s="4" t="inlineStr">
        <is>
          <t>Company</t>
        </is>
      </c>
      <c r="B6" s="4" t="inlineStr">
        <is>
          <t>Revenue (TTM)</t>
        </is>
      </c>
      <c r="C6" s="4" t="inlineStr">
        <is>
          <t>Rev Growth (YoY)</t>
        </is>
      </c>
      <c r="D6" s="4" t="inlineStr">
        <is>
          <t>Gross Margin</t>
        </is>
      </c>
      <c r="E6" s="4" t="inlineStr">
        <is>
          <t>EBITDA (TTM)</t>
        </is>
      </c>
      <c r="F6" s="4" t="inlineStr">
        <is>
          <t>EBITDA Margin</t>
        </is>
      </c>
    </row>
    <row r="7">
      <c r="A7" s="5" t="inlineStr">
        <is>
          <t>Broadcom</t>
        </is>
      </c>
      <c r="B7" s="11">
        <f>Inputs!E7</f>
        <v/>
      </c>
      <c r="C7" s="12">
        <f>Inputs!F7</f>
        <v/>
      </c>
      <c r="D7" s="12">
        <f>Inputs!G7</f>
        <v/>
      </c>
      <c r="E7" s="11">
        <f>Inputs!H7</f>
        <v/>
      </c>
      <c r="F7" s="12">
        <f>Inputs!H7/Inputs!E7</f>
        <v/>
      </c>
    </row>
    <row r="8">
      <c r="A8" s="5" t="inlineStr">
        <is>
          <t>NVIDIA</t>
        </is>
      </c>
      <c r="B8" s="11">
        <f>Inputs!E8</f>
        <v/>
      </c>
      <c r="C8" s="12">
        <f>Inputs!F8</f>
        <v/>
      </c>
      <c r="D8" s="12">
        <f>Inputs!G8</f>
        <v/>
      </c>
      <c r="E8" s="11">
        <f>Inputs!H8</f>
        <v/>
      </c>
      <c r="F8" s="12">
        <f>Inputs!H8/Inputs!E8</f>
        <v/>
      </c>
    </row>
    <row r="9">
      <c r="A9" s="5" t="inlineStr">
        <is>
          <t>AMD</t>
        </is>
      </c>
      <c r="B9" s="11">
        <f>Inputs!E9</f>
        <v/>
      </c>
      <c r="C9" s="12">
        <f>Inputs!F9</f>
        <v/>
      </c>
      <c r="D9" s="12">
        <f>Inputs!G9</f>
        <v/>
      </c>
      <c r="E9" s="11">
        <f>Inputs!H9</f>
        <v/>
      </c>
      <c r="F9" s="12">
        <f>Inputs!H9/Inputs!E9</f>
        <v/>
      </c>
    </row>
    <row r="10">
      <c r="A10" s="5" t="inlineStr">
        <is>
          <t>Marvell Technology</t>
        </is>
      </c>
      <c r="B10" s="11">
        <f>Inputs!E10</f>
        <v/>
      </c>
      <c r="C10" s="12">
        <f>Inputs!F10</f>
        <v/>
      </c>
      <c r="D10" s="12">
        <f>Inputs!G10</f>
        <v/>
      </c>
      <c r="E10" s="11">
        <f>Inputs!H10</f>
        <v/>
      </c>
      <c r="F10" s="12">
        <f>Inputs!H10/Inputs!E10</f>
        <v/>
      </c>
    </row>
    <row r="11">
      <c r="A11" s="5" t="inlineStr">
        <is>
          <t>Qualcomm</t>
        </is>
      </c>
      <c r="B11" s="11">
        <f>Inputs!E11</f>
        <v/>
      </c>
      <c r="C11" s="12">
        <f>Inputs!F11</f>
        <v/>
      </c>
      <c r="D11" s="12">
        <f>Inputs!G11</f>
        <v/>
      </c>
      <c r="E11" s="11">
        <f>Inputs!H11</f>
        <v/>
      </c>
      <c r="F11" s="12">
        <f>Inputs!H11/Inputs!E11</f>
        <v/>
      </c>
    </row>
    <row r="12">
      <c r="A12" s="5" t="inlineStr">
        <is>
          <t>Texas Instruments</t>
        </is>
      </c>
      <c r="B12" s="11">
        <f>Inputs!E12</f>
        <v/>
      </c>
      <c r="C12" s="12">
        <f>Inputs!F12</f>
        <v/>
      </c>
      <c r="D12" s="12">
        <f>Inputs!G12</f>
        <v/>
      </c>
      <c r="E12" s="11">
        <f>Inputs!H12</f>
        <v/>
      </c>
      <c r="F12" s="12">
        <f>Inputs!H12/Inputs!E12</f>
        <v/>
      </c>
    </row>
    <row r="13">
      <c r="A13" s="5" t="inlineStr">
        <is>
          <t>Oracle</t>
        </is>
      </c>
      <c r="B13" s="11">
        <f>Inputs!E13</f>
        <v/>
      </c>
      <c r="C13" s="12">
        <f>Inputs!F13</f>
        <v/>
      </c>
      <c r="D13" s="12">
        <f>Inputs!G13</f>
        <v/>
      </c>
      <c r="E13" s="11">
        <f>Inputs!H13</f>
        <v/>
      </c>
      <c r="F13" s="12">
        <f>Inputs!H13/Inputs!E13</f>
        <v/>
      </c>
    </row>
    <row r="14">
      <c r="A14" s="13" t="inlineStr">
        <is>
          <t>Maximum</t>
        </is>
      </c>
      <c r="B14" s="14" t="n"/>
      <c r="C14" s="15">
        <f>MAX(C8:C12)</f>
        <v/>
      </c>
      <c r="D14" s="15">
        <f>MAX(D8:D12)</f>
        <v/>
      </c>
      <c r="E14" s="14" t="n"/>
      <c r="F14" s="15">
        <f>MAX(F8:F12)</f>
        <v/>
      </c>
    </row>
    <row r="15">
      <c r="A15" s="13" t="inlineStr">
        <is>
          <t>75th Percentile</t>
        </is>
      </c>
      <c r="B15" s="14" t="n"/>
      <c r="C15" s="15">
        <f>QUARTILE(C8:C12,3)</f>
        <v/>
      </c>
      <c r="D15" s="15">
        <f>QUARTILE(D8:D12,3)</f>
        <v/>
      </c>
      <c r="E15" s="14" t="n"/>
      <c r="F15" s="15">
        <f>QUARTILE(F8:F12,3)</f>
        <v/>
      </c>
    </row>
    <row r="16">
      <c r="A16" s="13" t="inlineStr">
        <is>
          <t>Median</t>
        </is>
      </c>
      <c r="B16" s="14" t="n"/>
      <c r="C16" s="15">
        <f>MEDIAN(C8:C12)</f>
        <v/>
      </c>
      <c r="D16" s="15">
        <f>MEDIAN(D8:D12)</f>
        <v/>
      </c>
      <c r="E16" s="14" t="n"/>
      <c r="F16" s="15">
        <f>MEDIAN(F8:F12)</f>
        <v/>
      </c>
    </row>
    <row r="17">
      <c r="A17" s="13" t="inlineStr">
        <is>
          <t>25th Percentile</t>
        </is>
      </c>
      <c r="B17" s="14" t="n"/>
      <c r="C17" s="15">
        <f>QUARTILE(C8:C12,1)</f>
        <v/>
      </c>
      <c r="D17" s="15">
        <f>QUARTILE(D8:D12,1)</f>
        <v/>
      </c>
      <c r="E17" s="14" t="n"/>
      <c r="F17" s="15">
        <f>QUARTILE(F8:F12,1)</f>
        <v/>
      </c>
    </row>
    <row r="18">
      <c r="A18" s="13" t="inlineStr">
        <is>
          <t>Minimum</t>
        </is>
      </c>
      <c r="B18" s="14" t="n"/>
      <c r="C18" s="15">
        <f>MIN(C8:C12)</f>
        <v/>
      </c>
      <c r="D18" s="15">
        <f>MIN(D8:D12)</f>
        <v/>
      </c>
      <c r="E18" s="14" t="n"/>
      <c r="F18" s="15">
        <f>MIN(F8:F12)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13" customWidth="1" min="5" max="5"/>
    <col width="12" customWidth="1" min="6" max="6"/>
    <col width="11" customWidth="1" min="7" max="7"/>
    <col width="60" customWidth="1" min="8" max="8"/>
  </cols>
  <sheetData>
    <row r="1">
      <c r="A1" s="1" t="inlineStr">
        <is>
          <t>VALUATION MULTIPLES</t>
        </is>
      </c>
    </row>
    <row r="2">
      <c r="A2" s="3" t="inlineStr">
        <is>
          <t>EV = Mkt Cap + Net Debt. NM where denominator &lt;= 0. Forward P/E is the cleaner cross-peer gauge (GAAP earnings distorted by amortization at AMD/MRVL).</t>
        </is>
      </c>
    </row>
    <row r="6">
      <c r="A6" s="4" t="inlineStr">
        <is>
          <t>Company</t>
        </is>
      </c>
      <c r="B6" s="4" t="inlineStr">
        <is>
          <t>Mkt Cap</t>
        </is>
      </c>
      <c r="C6" s="4" t="inlineStr">
        <is>
          <t>EV</t>
        </is>
      </c>
      <c r="D6" s="4" t="inlineStr">
        <is>
          <t>EV / Rev</t>
        </is>
      </c>
      <c r="E6" s="4" t="inlineStr">
        <is>
          <t>EV / EBITDA</t>
        </is>
      </c>
      <c r="F6" s="4" t="inlineStr">
        <is>
          <t>P/E (TTM)</t>
        </is>
      </c>
      <c r="G6" s="4" t="inlineStr">
        <is>
          <t>Fwd P/E</t>
        </is>
      </c>
      <c r="H6" s="4" t="inlineStr">
        <is>
          <t>Comment</t>
        </is>
      </c>
    </row>
    <row r="7">
      <c r="A7" s="5" t="inlineStr">
        <is>
          <t>Broadcom</t>
        </is>
      </c>
      <c r="B7" s="11">
        <f>Inputs!C7</f>
        <v/>
      </c>
      <c r="C7" s="11">
        <f>Inputs!C7+Inputs!D7</f>
        <v/>
      </c>
      <c r="D7" s="16">
        <f>(Inputs!C7+Inputs!D7)/Inputs!E7</f>
        <v/>
      </c>
      <c r="E7" s="16">
        <f>IF(Inputs!H7&gt;0,(Inputs!C7+Inputs!D7)/Inputs!H7,"NM")</f>
        <v/>
      </c>
      <c r="F7" s="16">
        <f>IF(Inputs!I7&gt;0,Inputs!C7/Inputs!I7,"NM")</f>
        <v/>
      </c>
      <c r="G7" s="16">
        <f>Inputs!J7</f>
        <v/>
      </c>
      <c r="H7" s="17" t="inlineStr">
        <is>
          <t>Target. TTM P/E optically high (~87x) on GAAP NI; fwd ~31x. DCF base ~$246 &lt;&lt; $460 mkt (see model).</t>
        </is>
      </c>
    </row>
    <row r="8">
      <c r="A8" s="5" t="inlineStr">
        <is>
          <t>NVIDIA</t>
        </is>
      </c>
      <c r="B8" s="11">
        <f>Inputs!C8</f>
        <v/>
      </c>
      <c r="C8" s="11">
        <f>Inputs!C8+Inputs!D8</f>
        <v/>
      </c>
      <c r="D8" s="16">
        <f>(Inputs!C8+Inputs!D8)/Inputs!E8</f>
        <v/>
      </c>
      <c r="E8" s="16">
        <f>IF(Inputs!H8&gt;0,(Inputs!C8+Inputs!D8)/Inputs!H8,"NM")</f>
        <v/>
      </c>
      <c r="F8" s="16">
        <f>IF(Inputs!I8&gt;0,Inputs!C8/Inputs!I8,"NM")</f>
        <v/>
      </c>
      <c r="G8" s="16">
        <f>Inputs!J8</f>
        <v/>
      </c>
      <c r="H8" s="17" t="inlineStr">
        <is>
          <t>Cheapest large-cap on earnings (P/E ~34) despite $5.5T cap — vast profitability; net cash.</t>
        </is>
      </c>
    </row>
    <row r="9">
      <c r="A9" s="5" t="inlineStr">
        <is>
          <t>AMD</t>
        </is>
      </c>
      <c r="B9" s="11">
        <f>Inputs!C9</f>
        <v/>
      </c>
      <c r="C9" s="11">
        <f>Inputs!C9+Inputs!D9</f>
        <v/>
      </c>
      <c r="D9" s="16">
        <f>(Inputs!C9+Inputs!D9)/Inputs!E9</f>
        <v/>
      </c>
      <c r="E9" s="16">
        <f>IF(Inputs!H9&gt;0,(Inputs!C9+Inputs!D9)/Inputs!H9,"NM")</f>
        <v/>
      </c>
      <c r="F9" s="16">
        <f>IF(Inputs!I9&gt;0,Inputs!C9/Inputs!I9,"NM")</f>
        <v/>
      </c>
      <c r="G9" s="16">
        <f>Inputs!J9</f>
        <v/>
      </c>
      <c r="H9" s="17" t="inlineStr">
        <is>
          <t>Extreme TTM multiples (GAAP ramping); read on EV/Rev (~22x) and fwd P/E.</t>
        </is>
      </c>
    </row>
    <row r="10">
      <c r="A10" s="5" t="inlineStr">
        <is>
          <t>Marvell Technology</t>
        </is>
      </c>
      <c r="B10" s="11">
        <f>Inputs!C10</f>
        <v/>
      </c>
      <c r="C10" s="11">
        <f>Inputs!C10+Inputs!D10</f>
        <v/>
      </c>
      <c r="D10" s="16">
        <f>(Inputs!C10+Inputs!D10)/Inputs!E10</f>
        <v/>
      </c>
      <c r="E10" s="16">
        <f>IF(Inputs!H10&gt;0,(Inputs!C10+Inputs!D10)/Inputs!H10,"NM")</f>
        <v/>
      </c>
      <c r="F10" s="16">
        <f>IF(Inputs!I10&gt;0,Inputs!C10/Inputs!I10,"NM")</f>
        <v/>
      </c>
      <c r="G10" s="16">
        <f>Inputs!J10</f>
        <v/>
      </c>
      <c r="H10" s="17" t="inlineStr">
        <is>
          <t>Purest custom-silicon comp; GAAP P/E NM-high (amortization); fwd ~48x. Re-rated on NVDA endorsement.</t>
        </is>
      </c>
    </row>
    <row r="11">
      <c r="A11" s="5" t="inlineStr">
        <is>
          <t>Qualcomm</t>
        </is>
      </c>
      <c r="B11" s="11">
        <f>Inputs!C11</f>
        <v/>
      </c>
      <c r="C11" s="11">
        <f>Inputs!C11+Inputs!D11</f>
        <v/>
      </c>
      <c r="D11" s="16">
        <f>(Inputs!C11+Inputs!D11)/Inputs!E11</f>
        <v/>
      </c>
      <c r="E11" s="16">
        <f>IF(Inputs!H11&gt;0,(Inputs!C11+Inputs!D11)/Inputs!H11,"NM")</f>
        <v/>
      </c>
      <c r="F11" s="16">
        <f>IF(Inputs!I11&gt;0,Inputs!C11/Inputs!I11,"NM")</f>
        <v/>
      </c>
      <c r="G11" s="16">
        <f>Inputs!J11</f>
        <v/>
      </c>
      <c r="H11" s="17" t="inlineStr">
        <is>
          <t>Mature-semi value name; cheapest fwd P/E (~14x). Limited AI-accelerator exposure.</t>
        </is>
      </c>
    </row>
    <row r="12">
      <c r="A12" s="5" t="inlineStr">
        <is>
          <t>Texas Instruments</t>
        </is>
      </c>
      <c r="B12" s="11">
        <f>Inputs!C12</f>
        <v/>
      </c>
      <c r="C12" s="11">
        <f>Inputs!C12+Inputs!D12</f>
        <v/>
      </c>
      <c r="D12" s="16">
        <f>(Inputs!C12+Inputs!D12)/Inputs!E12</f>
        <v/>
      </c>
      <c r="E12" s="16">
        <f>IF(Inputs!H12&gt;0,(Inputs!C12+Inputs!D12)/Inputs!H12,"NM")</f>
        <v/>
      </c>
      <c r="F12" s="16">
        <f>IF(Inputs!I12&gt;0,Inputs!C12/Inputs!I12,"NM")</f>
        <v/>
      </c>
      <c r="G12" s="16">
        <f>Inputs!J12</f>
        <v/>
      </c>
      <c r="H12" s="17" t="inlineStr">
        <is>
          <t>Analog; high multiples reflect trough earnings in heavy-capex cycle, not just quality.</t>
        </is>
      </c>
    </row>
    <row r="13">
      <c r="A13" s="5" t="inlineStr">
        <is>
          <t>Oracle</t>
        </is>
      </c>
      <c r="B13" s="11">
        <f>Inputs!C13</f>
        <v/>
      </c>
      <c r="C13" s="11">
        <f>Inputs!C13+Inputs!D13</f>
        <v/>
      </c>
      <c r="D13" s="16">
        <f>(Inputs!C13+Inputs!D13)/Inputs!E13</f>
        <v/>
      </c>
      <c r="E13" s="16">
        <f>IF(Inputs!H13&gt;0,(Inputs!C13+Inputs!D13)/Inputs!H13,"NM")</f>
        <v/>
      </c>
      <c r="F13" s="16">
        <f>IF(Inputs!I13&gt;0,Inputs!C13/Inputs!I13,"NM")</f>
        <v/>
      </c>
      <c r="G13" s="16">
        <f>Inputs!J13</f>
        <v/>
      </c>
      <c r="H13" s="17" t="inlineStr">
        <is>
          <t>Software anchor (memo). Now an AI-capex story; ~$96B net debt rising; EV/Rev ~12x embeds high growth.</t>
        </is>
      </c>
    </row>
    <row r="14">
      <c r="A14" s="13" t="inlineStr">
        <is>
          <t>Maximum</t>
        </is>
      </c>
      <c r="B14" s="14" t="n"/>
      <c r="C14" s="14" t="n"/>
      <c r="D14" s="18">
        <f>MAX(D8:D12)</f>
        <v/>
      </c>
      <c r="E14" s="18">
        <f>MAX(E8:E12)</f>
        <v/>
      </c>
      <c r="F14" s="18">
        <f>MAX(F8:F12)</f>
        <v/>
      </c>
      <c r="G14" s="18">
        <f>MAX(G8:G12)</f>
        <v/>
      </c>
      <c r="H14" s="14" t="n"/>
    </row>
    <row r="15">
      <c r="A15" s="13" t="inlineStr">
        <is>
          <t>75th Percentile</t>
        </is>
      </c>
      <c r="B15" s="14" t="n"/>
      <c r="C15" s="14" t="n"/>
      <c r="D15" s="18">
        <f>QUARTILE(D8:D12,3)</f>
        <v/>
      </c>
      <c r="E15" s="18">
        <f>QUARTILE(E8:E12,3)</f>
        <v/>
      </c>
      <c r="F15" s="18">
        <f>QUARTILE(F8:F12,3)</f>
        <v/>
      </c>
      <c r="G15" s="18">
        <f>QUARTILE(G8:G12,3)</f>
        <v/>
      </c>
      <c r="H15" s="14" t="n"/>
    </row>
    <row r="16">
      <c r="A16" s="13" t="inlineStr">
        <is>
          <t>Median</t>
        </is>
      </c>
      <c r="B16" s="14" t="n"/>
      <c r="C16" s="14" t="n"/>
      <c r="D16" s="18">
        <f>MEDIAN(D8:D12)</f>
        <v/>
      </c>
      <c r="E16" s="18">
        <f>MEDIAN(E8:E12)</f>
        <v/>
      </c>
      <c r="F16" s="18">
        <f>MEDIAN(F8:F12)</f>
        <v/>
      </c>
      <c r="G16" s="18">
        <f>MEDIAN(G8:G12)</f>
        <v/>
      </c>
      <c r="H16" s="14" t="n"/>
    </row>
    <row r="17">
      <c r="A17" s="13" t="inlineStr">
        <is>
          <t>25th Percentile</t>
        </is>
      </c>
      <c r="B17" s="14" t="n"/>
      <c r="C17" s="14" t="n"/>
      <c r="D17" s="18">
        <f>QUARTILE(D8:D12,1)</f>
        <v/>
      </c>
      <c r="E17" s="18">
        <f>QUARTILE(E8:E12,1)</f>
        <v/>
      </c>
      <c r="F17" s="18">
        <f>QUARTILE(F8:F12,1)</f>
        <v/>
      </c>
      <c r="G17" s="18">
        <f>QUARTILE(G8:G12,1)</f>
        <v/>
      </c>
      <c r="H17" s="14" t="n"/>
    </row>
    <row r="18">
      <c r="A18" s="13" t="inlineStr">
        <is>
          <t>Minimum</t>
        </is>
      </c>
      <c r="B18" s="14" t="n"/>
      <c r="C18" s="14" t="n"/>
      <c r="D18" s="18">
        <f>MIN(D8:D12)</f>
        <v/>
      </c>
      <c r="E18" s="18">
        <f>MIN(E8:E12)</f>
        <v/>
      </c>
      <c r="F18" s="18">
        <f>MIN(F8:F12)</f>
        <v/>
      </c>
      <c r="G18" s="18">
        <f>MIN(G8:G12)</f>
        <v/>
      </c>
      <c r="H18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22" customWidth="1" min="4" max="4"/>
    <col width="26" customWidth="1" min="5" max="5"/>
    <col width="60" customWidth="1" min="6" max="6"/>
  </cols>
  <sheetData>
    <row r="1">
      <c r="A1" s="1" t="inlineStr">
        <is>
          <t>GROWTH &amp; AI EXPOSURE — Industry-Specific Lens</t>
        </is>
      </c>
    </row>
    <row r="2">
      <c r="A2" s="3" t="inlineStr">
        <is>
          <t>For this peer set the differentiators are AI revenue exposure, growth, and PEG (growth-adjusted valuation). AI revenue figures are [E] where not separately disclosed.</t>
        </is>
      </c>
    </row>
    <row r="6">
      <c r="A6" s="4" t="inlineStr">
        <is>
          <t>Company</t>
        </is>
      </c>
      <c r="B6" s="4" t="inlineStr">
        <is>
          <t>Rev Growth (YoY)</t>
        </is>
      </c>
      <c r="C6" s="4" t="inlineStr">
        <is>
          <t>Fwd P/E</t>
        </is>
      </c>
      <c r="D6" s="4" t="inlineStr">
        <is>
          <t>PEG (fwd P/E ÷ growth)</t>
        </is>
      </c>
      <c r="E6" s="4" t="inlineStr">
        <is>
          <t>AI exposure</t>
        </is>
      </c>
      <c r="F6" s="4" t="inlineStr">
        <is>
          <t>Posture</t>
        </is>
      </c>
    </row>
    <row r="7">
      <c r="A7" s="5" t="inlineStr">
        <is>
          <t>Broadcom</t>
        </is>
      </c>
      <c r="B7" s="12">
        <f>Inputs!F7</f>
        <v/>
      </c>
      <c r="C7" s="16">
        <f>Inputs!J7</f>
        <v/>
      </c>
      <c r="D7" s="19">
        <f>IF(Inputs!F7&gt;0,Inputs!J7/(Inputs!F7*100),"NM")</f>
        <v/>
      </c>
      <c r="E7" s="6" t="inlineStr">
        <is>
          <t>High — direct</t>
        </is>
      </c>
      <c r="F7" s="17" t="inlineStr">
        <is>
          <t>Custom XPU/ASIC + AI networking; 6 committed hyperscaler customers; $73B AI backlog</t>
        </is>
      </c>
    </row>
    <row r="8">
      <c r="A8" s="5" t="inlineStr">
        <is>
          <t>NVIDIA</t>
        </is>
      </c>
      <c r="B8" s="12">
        <f>Inputs!F8</f>
        <v/>
      </c>
      <c r="C8" s="16">
        <f>Inputs!J8</f>
        <v/>
      </c>
      <c r="D8" s="19">
        <f>IF(Inputs!F8&gt;0,Inputs!J8/(Inputs!F8*100),"NM")</f>
        <v/>
      </c>
      <c r="E8" s="6" t="inlineStr">
        <is>
          <t>Very high — merchant GPU leader</t>
        </is>
      </c>
      <c r="F8" s="17" t="inlineStr">
        <is>
          <t>~70%+ of AI accelerator market; the comp everyone anchors to</t>
        </is>
      </c>
    </row>
    <row r="9">
      <c r="A9" s="5" t="inlineStr">
        <is>
          <t>AMD</t>
        </is>
      </c>
      <c r="B9" s="12">
        <f>Inputs!F9</f>
        <v/>
      </c>
      <c r="C9" s="16">
        <f>Inputs!J9</f>
        <v/>
      </c>
      <c r="D9" s="19">
        <f>IF(Inputs!F9&gt;0,Inputs!J9/(Inputs!F9*100),"NM")</f>
        <v/>
      </c>
      <c r="E9" s="6" t="inlineStr">
        <is>
          <t>High — #2 merchant GPU</t>
        </is>
      </c>
      <c r="F9" s="17" t="inlineStr">
        <is>
          <t>MI-series data-center GPUs; ~10-15% accelerator share</t>
        </is>
      </c>
    </row>
    <row r="10">
      <c r="A10" s="5" t="inlineStr">
        <is>
          <t>Marvell Technology</t>
        </is>
      </c>
      <c r="B10" s="12">
        <f>Inputs!F10</f>
        <v/>
      </c>
      <c r="C10" s="16">
        <f>Inputs!J10</f>
        <v/>
      </c>
      <c r="D10" s="19">
        <f>IF(Inputs!F10&gt;0,Inputs!J10/(Inputs!F10*100),"NM")</f>
        <v/>
      </c>
      <c r="E10" s="6" t="inlineStr">
        <is>
          <t>High — custom silicon</t>
        </is>
      </c>
      <c r="F10" s="17" t="inlineStr">
        <is>
          <t>Closest AVGO ASIC comp; Amazon Trainium, Microsoft Maia; ~76% DC revenue</t>
        </is>
      </c>
    </row>
    <row r="11">
      <c r="A11" s="5" t="inlineStr">
        <is>
          <t>Qualcomm</t>
        </is>
      </c>
      <c r="B11" s="12">
        <f>Inputs!F11</f>
        <v/>
      </c>
      <c r="C11" s="16">
        <f>Inputs!J11</f>
        <v/>
      </c>
      <c r="D11" s="19">
        <f>IF(Inputs!F11&gt;0,Inputs!J11/(Inputs!F11*100),"NM")</f>
        <v/>
      </c>
      <c r="E11" s="6" t="inlineStr">
        <is>
          <t>Low — edge/on-device</t>
        </is>
      </c>
      <c r="F11" s="17" t="inlineStr">
        <is>
          <t>Handset/auto/IoT; limited data-center AI accelerator exposure</t>
        </is>
      </c>
    </row>
    <row r="12">
      <c r="A12" s="5" t="inlineStr">
        <is>
          <t>Texas Instruments</t>
        </is>
      </c>
      <c r="B12" s="12">
        <f>Inputs!F12</f>
        <v/>
      </c>
      <c r="C12" s="16">
        <f>Inputs!J12</f>
        <v/>
      </c>
      <c r="D12" s="19">
        <f>IF(Inputs!F12&gt;0,Inputs!J12/(Inputs!F12*100),"NM")</f>
        <v/>
      </c>
      <c r="E12" s="6" t="inlineStr">
        <is>
          <t>Low — analog content</t>
        </is>
      </c>
      <c r="F12" s="17" t="inlineStr">
        <is>
          <t>Benefits from AI server analog content, but no accelerator franchise</t>
        </is>
      </c>
    </row>
    <row r="13">
      <c r="A13" s="5" t="inlineStr">
        <is>
          <t>Oracle</t>
        </is>
      </c>
      <c r="B13" s="12">
        <f>Inputs!F13</f>
        <v/>
      </c>
      <c r="C13" s="16">
        <f>Inputs!J13</f>
        <v/>
      </c>
      <c r="D13" s="19">
        <f>IF(Inputs!F13&gt;0,Inputs!J13/(Inputs!F13*100),"NM")</f>
        <v/>
      </c>
      <c r="E13" s="6" t="inlineStr">
        <is>
          <t>High — AI infra demand</t>
        </is>
      </c>
      <c r="F13" s="17" t="inlineStr">
        <is>
          <t>OCI capacity for AI training (incl. OpenAI); software anchor for VMware</t>
        </is>
      </c>
    </row>
    <row r="14">
      <c r="A14" s="13" t="inlineStr">
        <is>
          <t>Maximum</t>
        </is>
      </c>
      <c r="B14" s="15">
        <f>MAX(B8:B12)</f>
        <v/>
      </c>
      <c r="C14" s="18">
        <f>MAX(C8:C12)</f>
        <v/>
      </c>
      <c r="D14" s="20">
        <f>MAX(D8:D12)</f>
        <v/>
      </c>
      <c r="E14" s="14" t="n"/>
      <c r="F14" s="14" t="n"/>
    </row>
    <row r="15">
      <c r="A15" s="13" t="inlineStr">
        <is>
          <t>75th Percentile</t>
        </is>
      </c>
      <c r="B15" s="15">
        <f>QUARTILE(B8:B12,3)</f>
        <v/>
      </c>
      <c r="C15" s="18">
        <f>QUARTILE(C8:C12,3)</f>
        <v/>
      </c>
      <c r="D15" s="20">
        <f>QUARTILE(D8:D12,3)</f>
        <v/>
      </c>
      <c r="E15" s="14" t="n"/>
      <c r="F15" s="14" t="n"/>
    </row>
    <row r="16">
      <c r="A16" s="13" t="inlineStr">
        <is>
          <t>Median</t>
        </is>
      </c>
      <c r="B16" s="15">
        <f>MEDIAN(B8:B12)</f>
        <v/>
      </c>
      <c r="C16" s="18">
        <f>MEDIAN(C8:C12)</f>
        <v/>
      </c>
      <c r="D16" s="20">
        <f>MEDIAN(D8:D12)</f>
        <v/>
      </c>
      <c r="E16" s="14" t="n"/>
      <c r="F16" s="14" t="n"/>
    </row>
    <row r="17">
      <c r="A17" s="13" t="inlineStr">
        <is>
          <t>25th Percentile</t>
        </is>
      </c>
      <c r="B17" s="15">
        <f>QUARTILE(B8:B12,1)</f>
        <v/>
      </c>
      <c r="C17" s="18">
        <f>QUARTILE(C8:C12,1)</f>
        <v/>
      </c>
      <c r="D17" s="20">
        <f>QUARTILE(D8:D12,1)</f>
        <v/>
      </c>
      <c r="E17" s="14" t="n"/>
      <c r="F17" s="14" t="n"/>
    </row>
    <row r="18">
      <c r="A18" s="13" t="inlineStr">
        <is>
          <t>Minimum</t>
        </is>
      </c>
      <c r="B18" s="15">
        <f>MIN(B8:B12)</f>
        <v/>
      </c>
      <c r="C18" s="18">
        <f>MIN(C8:C12)</f>
        <v/>
      </c>
      <c r="D18" s="20">
        <f>MIN(D8:D12)</f>
        <v/>
      </c>
      <c r="E18" s="14" t="n"/>
      <c r="F18" s="14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NOTES, METHODOLOGY &amp; DATA-SOURCE CAVEATS</t>
        </is>
      </c>
    </row>
    <row r="3">
      <c r="A3" s="21" t="inlineStr">
        <is>
          <t>Peer framing</t>
        </is>
      </c>
    </row>
    <row r="4" ht="16" customHeight="1">
      <c r="A4" s="22" t="inlineStr">
        <is>
          <t>Second framing (user-selected): semiconductor cohort + one infrastructure-software anchor.</t>
        </is>
      </c>
    </row>
    <row r="5" ht="16" customHeight="1">
      <c r="A5" s="22" t="inlineStr">
        <is>
          <t>Stat block (Max/75th/Median/25th/Min) is computed over the 5 SEMIS peers only: NVDA, AMD, MRVL, QCOM, TXN.</t>
        </is>
      </c>
    </row>
    <row r="6" ht="16" customHeight="1">
      <c r="A6" s="22" t="inlineStr">
        <is>
          <t>AVGO is the target (compare to the semis median). ORCL is a software-anchor MEMO row for the VMware (~40%) segment — excluded from semis stats.</t>
        </is>
      </c>
    </row>
    <row r="7" ht="16" customHeight="1">
      <c r="A7" s="22" t="inlineStr">
        <is>
          <t>Rationale: you don't median a software multiple into a semis set; ORCL frames the software side qualitatively + on its own multiples.</t>
        </is>
      </c>
    </row>
    <row r="9">
      <c r="A9" s="21" t="inlineStr">
        <is>
          <t>Data sources</t>
        </is>
      </c>
    </row>
    <row r="10" ht="16" customHeight="1">
      <c r="A10" s="22" t="inlineStr">
        <is>
          <t>Reported figures: company IR releases and SEC 10-Q/10-K filings for each issuer (most recent quarter as of May/June 2026).</t>
        </is>
      </c>
    </row>
    <row r="11" ht="16" customHeight="1">
      <c r="A11" s="22" t="inlineStr">
        <is>
          <t>Market data (caps, EV): StockAnalysis.com / companiesmarketcap / GuruFocus, ~June 1-2, 2026.</t>
        </is>
      </c>
    </row>
    <row r="12" ht="16" customHeight="1">
      <c r="A12" s="22" t="inlineStr">
        <is>
          <t>MCP terminal connectors (CapIQ/FactSet/Daloopa) were NOT configured; public sources used and flagged [E] where estimated.</t>
        </is>
      </c>
    </row>
    <row r="14">
      <c r="A14" s="21" t="inlineStr">
        <is>
          <t>Key adjustments &amp; caveats</t>
        </is>
      </c>
    </row>
    <row r="15" ht="16" customHeight="1">
      <c r="A15" s="22" t="inlineStr">
        <is>
          <t>GAAP TTM P/E is distorted for AMD and MRVL (earnings depressed by acquired-intangible amortization) — use FORWARD P/E for comparability.</t>
        </is>
      </c>
    </row>
    <row r="16" ht="16" customHeight="1">
      <c r="A16" s="22" t="inlineStr">
        <is>
          <t>QCOM net income excludes a one-time $5.7B Q2 FY26 tax benefit (~$9.9B underlying TTM used).</t>
        </is>
      </c>
    </row>
    <row r="17" ht="16" customHeight="1">
      <c r="A17" s="22" t="inlineStr">
        <is>
          <t>Market caps were volatile May-June 2026; ORCL in particular ranged ~$550B-$718B — ~$640B used. Re-pull all caps on one date before finalizing.</t>
        </is>
      </c>
    </row>
    <row r="18" ht="16" customHeight="1">
      <c r="A18" s="22" t="inlineStr">
        <is>
          <t>NVIDIA TTM revenue $253.5B (run-rate-consistent) used; an alternative aggregator window showed ~$216B.</t>
        </is>
      </c>
    </row>
    <row r="19" ht="16" customHeight="1">
      <c r="A19" s="22" t="inlineStr">
        <is>
          <t>AVGO EBITDA shown on a GAAP basis (~$40.5B) for peer comparability; adjusted EBITDA is ~$46B (~68% margin).</t>
        </is>
      </c>
    </row>
    <row r="20" ht="16" customHeight="1">
      <c r="A20" s="22" t="inlineStr">
        <is>
          <t>EV excludes operating-lease liabilities and uses simple net debt (total debt - cash). NVDA/AMD net-cash positions are conservative (exclude marketable securities).</t>
        </is>
      </c>
    </row>
    <row r="22">
      <c r="A22" s="21" t="inlineStr">
        <is>
          <t>Cross-references</t>
        </is>
      </c>
    </row>
    <row r="23" ht="16" customHeight="1">
      <c r="A23" s="22" t="inlineStr">
        <is>
          <t>Intrinsic valuation: AVGO-Model.xlsx (3-statement + DCF). Base-case DCF ~$246/share vs ~$460 market.</t>
        </is>
      </c>
    </row>
    <row r="24" ht="16" customHeight="1">
      <c r="A24" s="22" t="inlineStr">
        <is>
          <t>Narrative: AVGO-Competitive-Analysis.pptx / .html.</t>
        </is>
      </c>
    </row>
    <row r="25" ht="16" customHeight="1">
      <c r="A25" s="22" t="inlineStr">
        <is>
          <t>Build script: build_comps.py — re-run after updating INPUTS.</t>
        </is>
      </c>
    </row>
  </sheetData>
  <mergeCells count="21"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3:E3"/>
    <mergeCell ref="A12:E12"/>
    <mergeCell ref="A5:E5"/>
    <mergeCell ref="A23:E23"/>
    <mergeCell ref="A14:E14"/>
    <mergeCell ref="A22:E22"/>
    <mergeCell ref="A17:E17"/>
    <mergeCell ref="A4:E4"/>
    <mergeCell ref="A20:E20"/>
    <mergeCell ref="A10:E10"/>
    <mergeCell ref="A19:E19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2026-06-03T05:42:11Z</dcterms:created>
  <dcterms:modified xmlns:dcterms="http://purl.org/dc/terms/" xmlns:xsi="http://www.w3.org/2001/XMLSchema-instance" xsi:type="dcterms:W3CDTF">2026-06-03T05:42:11Z</dcterms:modified>
</cp:coreProperties>
</file>
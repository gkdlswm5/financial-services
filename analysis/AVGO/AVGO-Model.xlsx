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"/>
    <numFmt numFmtId="166" formatCode="#,##0.0"/>
    <numFmt numFmtId="167" formatCode="0.000"/>
  </numFmts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595959"/>
      <sz val="10"/>
    </font>
    <font>
      <name val="Times New Roman"/>
      <b val="1"/>
      <color rgb="0017365D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pivotButton="0" quotePrefix="0" xfId="0"/>
    <xf numFmtId="165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3" fillId="3" borderId="0" pivotButton="0" quotePrefix="0" xfId="0"/>
    <xf numFmtId="167" fontId="4" fillId="0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AVGO model</author>
  </authors>
  <commentList>
    <comment ref="C6" authorId="0" shapeId="0">
      <text>
        <t>[E] FY2023 AI semi revenue ~$4.2B per Hock Tan commentary (AI ~15% of semis FY23)</t>
      </text>
    </comment>
    <comment ref="D6" authorId="0" shapeId="0">
      <text>
        <t>FY2024 AI revenue $12.2B per Broadcom FY2024 earnings (Hock Tan)</t>
      </text>
    </comment>
    <comment ref="E6" authorId="0" shapeId="0">
      <text>
        <t>[E] FY2025 AI revenue ~$20B per Broadcom commentary / TIKR (FY2025 AI ASIC ~$20B)</t>
      </text>
    </comment>
    <comment ref="F6" authorId="0" shapeId="0">
      <text>
        <t>[E] BASE FY2026 AI ~$50B: H1 actual $19.2B + Q3 guide implies ~$13B AI + Q4 continued ramp; mgmt reiterated FY26 AI guidance</t>
      </text>
    </comment>
    <comment ref="G6" authorId="0" shapeId="0">
      <text>
        <t>[E] BASE FY2027 AI ~$85B: 15% haircut vs mgmt 'line of sight to $100B+ in FY27' (reiterated post-Q2). Q2 momentum reduces but does not eliminate execution / OpenAI-financing risk</t>
      </text>
    </comment>
    <comment ref="H6" authorId="0" shapeId="0">
      <text>
        <t>[E] BASE FY2028 AI ~$108B (+27%): continued XPU + AI networking ramp across 6 committed customers</t>
      </text>
    </comment>
    <comment ref="I6" authorId="0" shapeId="0">
      <text>
        <t>[E] BASE FY2029 AI ~$128B (+19%): maturing hyperscaler programs</t>
      </text>
    </comment>
    <comment ref="J6" authorId="0" shapeId="0">
      <text>
        <t>[E] BASE FY2030 AI ~$145B (+13%): late-cycle AI accelerator demand</t>
      </text>
    </comment>
    <comment ref="C7" authorId="0" shapeId="0">
      <text>
        <t>[E] FY2023 non-AI semi = semis $28.215B - AI $4.2B (semis per FY23 10-K)</t>
      </text>
    </comment>
    <comment ref="D7" authorId="0" shapeId="0">
      <text>
        <t>[E] FY2024 non-AI semi = semis $30.096B - AI $12.2B (semis per FY24 10-K)</t>
      </text>
    </comment>
    <comment ref="E7" authorId="0" shapeId="0">
      <text>
        <t>[E] FY2025 non-AI semi = semis ~$37.4B - AI ~$20B</t>
      </text>
    </comment>
    <comment ref="F7" authorId="0" shapeId="0">
      <text>
        <t>[E] FY2026 non-AI semi ~$17.5B: modest cyclical recovery (Apple Wi-Fi insourcing a headwind)</t>
      </text>
    </comment>
    <comment ref="G7" authorId="0" shapeId="0">
      <text>
        <t>[E] FY2027 non-AI semi +6%</t>
      </text>
    </comment>
    <comment ref="H7" authorId="0" shapeId="0">
      <text>
        <t>[E] FY2028 non-AI semi +5%</t>
      </text>
    </comment>
    <comment ref="I7" authorId="0" shapeId="0">
      <text>
        <t>[E] FY2029 non-AI semi +5%</t>
      </text>
    </comment>
    <comment ref="J7" authorId="0" shapeId="0">
      <text>
        <t>[E] FY2030 non-AI semi +5%</t>
      </text>
    </comment>
    <comment ref="C8" authorId="0" shapeId="0">
      <text>
        <t>FY2023 Infrastructure Software segment revenue $7.604B (10-K; pre-VMware-full-year)</t>
      </text>
    </comment>
    <comment ref="D8" authorId="0" shapeId="0">
      <text>
        <t>FY2024 Infrastructure Software segment revenue $21.478B (10-K; first VMware full year)</t>
      </text>
    </comment>
    <comment ref="E8" authorId="0" shapeId="0">
      <text>
        <t>[E] FY2025 Infrastructure Software ~$26.5B (~4x ~$6.6B/qtr; Q1 FY26 was $6.80B)</t>
      </text>
    </comment>
    <comment ref="F8" authorId="0" shapeId="0">
      <text>
        <t>[E] FY2026 software ~$28B: VMware cross-sell + price; mid-single-digit organic</t>
      </text>
    </comment>
    <comment ref="G8" authorId="0" shapeId="0">
      <text>
        <t>[E] FY2027 software +7%</t>
      </text>
    </comment>
    <comment ref="H8" authorId="0" shapeId="0">
      <text>
        <t>[E] FY2028 software +7%</t>
      </text>
    </comment>
    <comment ref="I8" authorId="0" shapeId="0">
      <text>
        <t>[E] FY2029 software +6%</t>
      </text>
    </comment>
    <comment ref="J8" authorId="0" shapeId="0">
      <text>
        <t>[E] FY2030 software +6%</t>
      </text>
    </comment>
    <comment ref="C15" authorId="0" shapeId="0">
      <text>
        <t>FY2023 GAAP operating margin ~46% (op income $16.2B / rev $35.8B)</t>
      </text>
    </comment>
    <comment ref="D15" authorId="0" shapeId="0">
      <text>
        <t>FY2024 GAAP op margin ~26% (depressed by VMware intangible amortization)</t>
      </text>
    </comment>
    <comment ref="E15" authorId="0" shapeId="0">
      <text>
        <t>[E] FY2025 GAAP op margin ~40% (amortization beginning to roll off)</t>
      </text>
    </comment>
    <comment ref="F15" authorId="0" shapeId="0">
      <text>
        <t>[E] BASE FY2026 44% (GAAP op margin rising as VMware intangibles amortize down)</t>
      </text>
    </comment>
    <comment ref="G15" authorId="0" shapeId="0">
      <text>
        <t>[E] 47%</t>
      </text>
    </comment>
    <comment ref="H15" authorId="0" shapeId="0">
      <text>
        <t>[E] 49%</t>
      </text>
    </comment>
    <comment ref="I15" authorId="0" shapeId="0">
      <text>
        <t>[E] 50%</t>
      </text>
    </comment>
    <comment ref="J15" authorId="0" shapeId="0">
      <text>
        <t>[E] 51% (amortization largely complete; structurally high-margin mix)</t>
      </text>
    </comment>
    <comment ref="C16" authorId="0" shapeId="0">
      <text>
        <t>[E] FY2023 D&amp;A ~18% of rev (incl. acquired-intangible amortization)</t>
      </text>
    </comment>
    <comment ref="D16" authorId="0" shapeId="0">
      <text>
        <t>[E] FY2024 D&amp;A ~22% (peak VMware intangible amortization)</t>
      </text>
    </comment>
    <comment ref="E16" authorId="0" shapeId="0">
      <text>
        <t>[E] FY2025 D&amp;A ~16%</t>
      </text>
    </comment>
    <comment ref="F16" authorId="0" shapeId="0">
      <text>
        <t>[E] 12% — intangible amortization declining</t>
      </text>
    </comment>
    <comment ref="G16" authorId="0" shapeId="0">
      <text>
        <t>[E] 10%</t>
      </text>
    </comment>
    <comment ref="H16" authorId="0" shapeId="0">
      <text>
        <t>[E] 8%</t>
      </text>
    </comment>
    <comment ref="I16" authorId="0" shapeId="0">
      <text>
        <t>[E] 7%</t>
      </text>
    </comment>
    <comment ref="J16" authorId="0" shapeId="0">
      <text>
        <t>[E] 6% (cash depreciation only by FY30)</t>
      </text>
    </comment>
    <comment ref="C17" authorId="0" shapeId="0">
      <text>
        <t>[E] Capex light — AVGO is fabless; ~2-2.5% of revenue</t>
      </text>
    </comment>
    <comment ref="D17" authorId="0" shapeId="0">
      <text>
        <t>[E] Capex light — AVGO is fabless; ~2-2.5% of revenue</t>
      </text>
    </comment>
    <comment ref="E17" authorId="0" shapeId="0">
      <text>
        <t>[E] Capex light — AVGO is fabless; ~2-2.5% of revenue</t>
      </text>
    </comment>
    <comment ref="F17" authorId="0" shapeId="0">
      <text>
        <t>[E] Capex light — AVGO is fabless; ~2-2.5% of revenue</t>
      </text>
    </comment>
    <comment ref="G17" authorId="0" shapeId="0">
      <text>
        <t>[E] Capex light — AVGO is fabless; ~2-2.5% of revenue</t>
      </text>
    </comment>
    <comment ref="H17" authorId="0" shapeId="0">
      <text>
        <t>[E] Capex light — AVGO is fabless; ~2-2.5% of revenue</t>
      </text>
    </comment>
    <comment ref="I17" authorId="0" shapeId="0">
      <text>
        <t>[E] Capex light — AVGO is fabless; ~2-2.5% of revenue</t>
      </text>
    </comment>
    <comment ref="J17" authorId="0" shapeId="0">
      <text>
        <t>[E] Capex light — AVGO is fabless; ~2-2.5% of revenue</t>
      </text>
    </comment>
    <comment ref="C18" authorId="0" shapeId="0">
      <text>
        <t>[E] Cash tax rate ~14-15% (AVGO historically low effective rate; IP geography)</t>
      </text>
    </comment>
    <comment ref="D18" authorId="0" shapeId="0">
      <text>
        <t>[E] Cash tax rate ~14-15% (AVGO historically low effective rate; IP geography)</t>
      </text>
    </comment>
    <comment ref="E18" authorId="0" shapeId="0">
      <text>
        <t>[E] Cash tax rate ~14-15% (AVGO historically low effective rate; IP geography)</t>
      </text>
    </comment>
    <comment ref="F18" authorId="0" shapeId="0">
      <text>
        <t>[E] Cash tax rate ~14-15% (AVGO historically low effective rate; IP geography)</t>
      </text>
    </comment>
    <comment ref="G18" authorId="0" shapeId="0">
      <text>
        <t>[E] Cash tax rate ~14-15% (AVGO historically low effective rate; IP geography)</t>
      </text>
    </comment>
    <comment ref="H18" authorId="0" shapeId="0">
      <text>
        <t>[E] Cash tax rate ~14-15% (AVGO historically low effective rate; IP geography)</t>
      </text>
    </comment>
    <comment ref="I18" authorId="0" shapeId="0">
      <text>
        <t>[E] Cash tax rate ~14-15% (AVGO historically low effective rate; IP geography)</t>
      </text>
    </comment>
    <comment ref="J18" authorId="0" shapeId="0">
      <text>
        <t>[E] Cash tax rate ~14-15% (AVGO historically low effective rate; IP geography)</t>
      </text>
    </comment>
    <comment ref="C19" authorId="0" shapeId="0">
      <text>
        <t>[E] Incremental net working capital ~3% of revenue growth (AVGO runs favorable WC)</t>
      </text>
    </comment>
    <comment ref="D19" authorId="0" shapeId="0">
      <text>
        <t>[E] Incremental net working capital ~3% of revenue growth (AVGO runs favorable WC)</t>
      </text>
    </comment>
    <comment ref="E19" authorId="0" shapeId="0">
      <text>
        <t>[E] Incremental net working capital ~3% of revenue growth (AVGO runs favorable WC)</t>
      </text>
    </comment>
    <comment ref="F19" authorId="0" shapeId="0">
      <text>
        <t>[E] Incremental net working capital ~3% of revenue growth (AVGO runs favorable WC)</t>
      </text>
    </comment>
    <comment ref="G19" authorId="0" shapeId="0">
      <text>
        <t>[E] Incremental net working capital ~3% of revenue growth (AVGO runs favorable WC)</t>
      </text>
    </comment>
    <comment ref="H19" authorId="0" shapeId="0">
      <text>
        <t>[E] Incremental net working capital ~3% of revenue growth (AVGO runs favorable WC)</t>
      </text>
    </comment>
    <comment ref="I19" authorId="0" shapeId="0">
      <text>
        <t>[E] Incremental net working capital ~3% of revenue growth (AVGO runs favorable WC)</t>
      </text>
    </comment>
    <comment ref="J19" authorId="0" shapeId="0">
      <text>
        <t>[E] Incremental net working capital ~3% of revenue growth (AVGO runs favorable WC)</t>
      </text>
    </comment>
    <comment ref="C22" authorId="0" shapeId="0">
      <text>
        <t>AVGO ~$481.62/sh post-Q2 FY26 print (+4.7% on $22.2B rev, AI +143%, Q3 guide $29.4B)</t>
      </text>
    </comment>
    <comment ref="C23" authorId="0" shapeId="0">
      <text>
        <t>~4.73B diluted shares (StockAnalysis, Q2 FY26)</t>
      </text>
    </comment>
    <comment ref="C24" authorId="0" shapeId="0">
      <text>
        <t>[E] Total debt ~$65B at May 3, 2026 (Q2 FY26 8-K; continuing paydown from ~$66.1B in Q1)</t>
      </text>
    </comment>
    <comment ref="C25" authorId="0" shapeId="0">
      <text>
        <t>[E] Cash ~$16B at May 3, 2026 (Q2 FY26 — strong FCF $10.3B added)</t>
      </text>
    </comment>
    <comment ref="C26" authorId="0" shapeId="0">
      <text>
        <t>[E] 10-yr UST ~4.3% (June 2026)</t>
      </text>
    </comment>
    <comment ref="C27" authorId="0" shapeId="0">
      <text>
        <t>[E] US equity risk premium ~5.0% (Damodaran-style)</t>
      </text>
    </comment>
    <comment ref="C28" authorId="0" shapeId="0">
      <text>
        <t>[E] AVGO beta ~1.07 (5-yr, levered); calibrated so computed WACC = 9.50% (sensitivity-table center)</t>
      </text>
    </comment>
    <comment ref="C29" authorId="0" shapeId="0">
      <text>
        <t>[E] AVGO blended pre-tax cost of debt ~5.0%</t>
      </text>
    </comment>
    <comment ref="C30" authorId="0" shapeId="0">
      <text>
        <t>[E] BASE terminal growth 3.5% (long-run, post-AI-ramp maturity)</t>
      </text>
    </comment>
  </commentList>
</comments>
</file>

<file path=xl/comments/comment2.xml><?xml version="1.0" encoding="utf-8"?>
<comments xmlns="http://schemas.openxmlformats.org/spreadsheetml/2006/main">
  <authors>
    <author>AVGO model</author>
  </authors>
  <commentList>
    <comment ref="C10" authorId="0" shapeId="0">
      <text>
        <t>[E] FY2023 net interest ~$1.6B</t>
      </text>
    </comment>
    <comment ref="D10" authorId="0" shapeId="0">
      <text>
        <t>[E] FY2024 net interest ~$3.6B (post-VMware debt)</t>
      </text>
    </comment>
    <comment ref="E10" authorId="0" shapeId="0">
      <text>
        <t>[E] FY2025 net interest ~$3.5B</t>
      </text>
    </comment>
  </commentList>
</comments>
</file>

<file path=xl/comments/comment3.xml><?xml version="1.0" encoding="utf-8"?>
<comments xmlns="http://schemas.openxmlformats.org/spreadsheetml/2006/main">
  <authors>
    <author>AVGO model</author>
  </authors>
  <commentList>
    <comment ref="C5" authorId="0" shapeId="0">
      <text>
        <t>[E] FY2023 cash ~$14.2B</t>
      </text>
    </comment>
    <comment ref="D5" authorId="0" shapeId="0">
      <text>
        <t>[E] FY2024 cash ~$9.3B</t>
      </text>
    </comment>
    <comment ref="E5" authorId="0" shapeId="0">
      <text>
        <t>[E] FY2025 cash ~$10.5B</t>
      </text>
    </comment>
    <comment ref="C7" authorId="0" shapeId="0">
      <text>
        <t>[E] FY2023 total debt ~$39.2B (pre full VMware draw)</t>
      </text>
    </comment>
    <comment ref="D7" authorId="0" shapeId="0">
      <text>
        <t>FY2024 total debt ~$70.0B (post-VMware)</t>
      </text>
    </comment>
    <comment ref="E7" authorId="0" shapeId="0">
      <text>
        <t>[E] FY2025 total debt ~$67.5B (paying down)</t>
      </text>
    </comment>
    <comment ref="C8" authorId="0" shapeId="0">
      <text>
        <t>[E] FY2023 shareholders' equity ~$49.9B</t>
      </text>
    </comment>
    <comment ref="D8" authorId="0" shapeId="0">
      <text>
        <t>[E] FY2024 equity ~$68.0B (VMware stock consideration)</t>
      </text>
    </comment>
    <comment ref="E8" authorId="0" shapeId="0">
      <text>
        <t>[E] FY2025 equity ~$70.0B</t>
      </text>
    </comment>
    <comment ref="F10" authorId="0" shapeId="0">
      <text>
        <t>[E] ~$6B debt repayment FY2026</t>
      </text>
    </comment>
    <comment ref="G10" authorId="0" shapeId="0">
      <text>
        <t>[E] ~$6B FY2027</t>
      </text>
    </comment>
    <comment ref="H10" authorId="0" shapeId="0">
      <text>
        <t>[E] ~$5B FY2028</t>
      </text>
    </comment>
    <comment ref="I10" authorId="0" shapeId="0">
      <text>
        <t>[E] ~$4B FY2029</t>
      </text>
    </comment>
    <comment ref="J10" authorId="0" shapeId="0">
      <text>
        <t>[E] ~$3B FY2030</t>
      </text>
    </comment>
    <comment ref="F11" authorId="0" shapeId="0">
      <text>
        <t>[E] FY2026 dividends + buybacks ~$14B (div ~$12B + modest buyback)</t>
      </text>
    </comment>
    <comment ref="G11" authorId="0" shapeId="0">
      <text>
        <t>[E] ~$16B FY2027</t>
      </text>
    </comment>
    <comment ref="H11" authorId="0" shapeId="0">
      <text>
        <t>[E] ~$18B FY2028</t>
      </text>
    </comment>
    <comment ref="I11" authorId="0" shapeId="0">
      <text>
        <t>[E] ~$20B FY2029</t>
      </text>
    </comment>
    <comment ref="J11" authorId="0" shapeId="0">
      <text>
        <t>[E] ~$22B FY2030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BROADCOM (AVGO) — INTEGRATED MODEL: DRIVERS &amp; ASSUMPTIONS</t>
        </is>
      </c>
    </row>
    <row r="2">
      <c r="A2" s="2" t="inlineStr">
        <is>
          <t>As of June 3, 2026 (post-Q2 FY26 print) | $ in millions unless noted | Blue = input/assumption (see cell comments), Black = formula</t>
        </is>
      </c>
    </row>
    <row r="4">
      <c r="A4" s="1" t="inlineStr">
        <is>
          <t>SEGMENT REVENUE BUILD  ($M)</t>
        </is>
      </c>
    </row>
    <row r="5">
      <c r="A5" s="3" t="inlineStr">
        <is>
          <t>($ in millions)</t>
        </is>
      </c>
      <c r="C5" s="4" t="inlineStr">
        <is>
          <t>FY2023A</t>
        </is>
      </c>
      <c r="D5" s="4" t="inlineStr">
        <is>
          <t>FY2024A</t>
        </is>
      </c>
      <c r="E5" s="4" t="inlineStr">
        <is>
          <t>FY2025A</t>
        </is>
      </c>
      <c r="F5" s="4" t="inlineStr">
        <is>
          <t>FY2026E</t>
        </is>
      </c>
      <c r="G5" s="4" t="inlineStr">
        <is>
          <t>FY2027E</t>
        </is>
      </c>
      <c r="H5" s="4" t="inlineStr">
        <is>
          <t>FY2028E</t>
        </is>
      </c>
      <c r="I5" s="4" t="inlineStr">
        <is>
          <t>FY2029E</t>
        </is>
      </c>
      <c r="J5" s="4" t="inlineStr">
        <is>
          <t>FY2030E</t>
        </is>
      </c>
    </row>
    <row r="6">
      <c r="A6" s="5" t="inlineStr">
        <is>
          <t xml:space="preserve">  AI Semiconductor revenue</t>
        </is>
      </c>
      <c r="C6" s="6" t="n">
        <v>4200</v>
      </c>
      <c r="D6" s="6" t="n">
        <v>12200</v>
      </c>
      <c r="E6" s="6" t="n">
        <v>20000</v>
      </c>
      <c r="F6" s="6" t="n">
        <v>50000</v>
      </c>
      <c r="G6" s="6" t="n">
        <v>85000</v>
      </c>
      <c r="H6" s="6" t="n">
        <v>108000</v>
      </c>
      <c r="I6" s="6" t="n">
        <v>128000</v>
      </c>
      <c r="J6" s="6" t="n">
        <v>145000</v>
      </c>
    </row>
    <row r="7">
      <c r="A7" s="5" t="inlineStr">
        <is>
          <t xml:space="preserve">  Non-AI Semiconductor revenue</t>
        </is>
      </c>
      <c r="C7" s="6" t="n">
        <v>24015</v>
      </c>
      <c r="D7" s="6" t="n">
        <v>17896</v>
      </c>
      <c r="E7" s="6" t="n">
        <v>17400</v>
      </c>
      <c r="F7" s="6" t="n">
        <v>17500</v>
      </c>
      <c r="G7" s="6" t="n">
        <v>18500</v>
      </c>
      <c r="H7" s="6" t="n">
        <v>19500</v>
      </c>
      <c r="I7" s="6" t="n">
        <v>20500</v>
      </c>
      <c r="J7" s="6" t="n">
        <v>21500</v>
      </c>
    </row>
    <row r="8">
      <c r="A8" s="5" t="inlineStr">
        <is>
          <t xml:space="preserve">  Infrastructure Software revenue</t>
        </is>
      </c>
      <c r="C8" s="6" t="n">
        <v>7604</v>
      </c>
      <c r="D8" s="6" t="n">
        <v>21478</v>
      </c>
      <c r="E8" s="6" t="n">
        <v>26487</v>
      </c>
      <c r="F8" s="6" t="n">
        <v>28000</v>
      </c>
      <c r="G8" s="6" t="n">
        <v>30000</v>
      </c>
      <c r="H8" s="6" t="n">
        <v>32000</v>
      </c>
      <c r="I8" s="6" t="n">
        <v>34000</v>
      </c>
      <c r="J8" s="6" t="n">
        <v>36000</v>
      </c>
    </row>
    <row r="9">
      <c r="A9" s="7" t="inlineStr">
        <is>
          <t>Total revenue</t>
        </is>
      </c>
      <c r="C9" s="8">
        <f>SUM(C6:C8)</f>
        <v/>
      </c>
      <c r="D9" s="8">
        <f>SUM(D6:D8)</f>
        <v/>
      </c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</row>
    <row r="10">
      <c r="A10" s="5" t="inlineStr">
        <is>
          <t xml:space="preserve">  Total revenue growth %</t>
        </is>
      </c>
      <c r="C10" s="2" t="inlineStr">
        <is>
          <t>n/a</t>
        </is>
      </c>
      <c r="D10" s="9">
        <f>D9/C9-1</f>
        <v/>
      </c>
      <c r="E10" s="9">
        <f>E9/D9-1</f>
        <v/>
      </c>
      <c r="F10" s="9">
        <f>F9/E9-1</f>
        <v/>
      </c>
      <c r="G10" s="9">
        <f>G9/F9-1</f>
        <v/>
      </c>
      <c r="H10" s="9">
        <f>H9/G9-1</f>
        <v/>
      </c>
      <c r="I10" s="9">
        <f>I9/H9-1</f>
        <v/>
      </c>
      <c r="J10" s="9">
        <f>J9/I9-1</f>
        <v/>
      </c>
    </row>
    <row r="11">
      <c r="A11" s="5" t="inlineStr">
        <is>
          <t xml:space="preserve">  AI % of total revenue</t>
        </is>
      </c>
      <c r="C11" s="9">
        <f>C6/C9</f>
        <v/>
      </c>
      <c r="D11" s="9">
        <f>D6/D9</f>
        <v/>
      </c>
      <c r="E11" s="9">
        <f>E6/E9</f>
        <v/>
      </c>
      <c r="F11" s="9">
        <f>F6/F9</f>
        <v/>
      </c>
      <c r="G11" s="9">
        <f>G6/G9</f>
        <v/>
      </c>
      <c r="H11" s="9">
        <f>H6/H9</f>
        <v/>
      </c>
      <c r="I11" s="9">
        <f>I6/I9</f>
        <v/>
      </c>
      <c r="J11" s="9">
        <f>J6/J9</f>
        <v/>
      </c>
    </row>
    <row r="13">
      <c r="A13" s="1" t="inlineStr">
        <is>
          <t>MARGIN &amp; FREE-CASH-FLOW DRIVERS</t>
        </is>
      </c>
    </row>
    <row r="14">
      <c r="A14" s="3" t="inlineStr">
        <is>
          <t>($ in millions)</t>
        </is>
      </c>
      <c r="C14" s="4" t="inlineStr">
        <is>
          <t>FY2023A</t>
        </is>
      </c>
      <c r="D14" s="4" t="inlineStr">
        <is>
          <t>FY2024A</t>
        </is>
      </c>
      <c r="E14" s="4" t="inlineStr">
        <is>
          <t>FY2025A</t>
        </is>
      </c>
      <c r="F14" s="4" t="inlineStr">
        <is>
          <t>FY2026E</t>
        </is>
      </c>
      <c r="G14" s="4" t="inlineStr">
        <is>
          <t>FY2027E</t>
        </is>
      </c>
      <c r="H14" s="4" t="inlineStr">
        <is>
          <t>FY2028E</t>
        </is>
      </c>
      <c r="I14" s="4" t="inlineStr">
        <is>
          <t>FY2029E</t>
        </is>
      </c>
      <c r="J14" s="4" t="inlineStr">
        <is>
          <t>FY2030E</t>
        </is>
      </c>
    </row>
    <row r="15">
      <c r="A15" s="5" t="inlineStr">
        <is>
          <t xml:space="preserve">  Operating margin % (GAAP, EBIT)</t>
        </is>
      </c>
      <c r="C15" s="10" t="n">
        <v>0.46</v>
      </c>
      <c r="D15" s="10" t="n">
        <v>0.26</v>
      </c>
      <c r="E15" s="10" t="n">
        <v>0.4</v>
      </c>
      <c r="F15" s="10" t="n">
        <v>0.44</v>
      </c>
      <c r="G15" s="10" t="n">
        <v>0.47</v>
      </c>
      <c r="H15" s="10" t="n">
        <v>0.49</v>
      </c>
      <c r="I15" s="10" t="n">
        <v>0.5</v>
      </c>
      <c r="J15" s="10" t="n">
        <v>0.51</v>
      </c>
    </row>
    <row r="16">
      <c r="A16" s="5" t="inlineStr">
        <is>
          <t xml:space="preserve">  D&amp;A % of revenue</t>
        </is>
      </c>
      <c r="C16" s="10" t="n">
        <v>0.18</v>
      </c>
      <c r="D16" s="10" t="n">
        <v>0.22</v>
      </c>
      <c r="E16" s="10" t="n">
        <v>0.16</v>
      </c>
      <c r="F16" s="10" t="n">
        <v>0.12</v>
      </c>
      <c r="G16" s="10" t="n">
        <v>0.1</v>
      </c>
      <c r="H16" s="10" t="n">
        <v>0.08</v>
      </c>
      <c r="I16" s="10" t="n">
        <v>0.07000000000000001</v>
      </c>
      <c r="J16" s="10" t="n">
        <v>0.06</v>
      </c>
    </row>
    <row r="17">
      <c r="A17" s="5" t="inlineStr">
        <is>
          <t xml:space="preserve">  Capex % of revenue</t>
        </is>
      </c>
      <c r="C17" s="10" t="n">
        <v>0.014</v>
      </c>
      <c r="D17" s="10" t="n">
        <v>0.005</v>
      </c>
      <c r="E17" s="10" t="n">
        <v>0.02</v>
      </c>
      <c r="F17" s="10" t="n">
        <v>0.025</v>
      </c>
      <c r="G17" s="10" t="n">
        <v>0.025</v>
      </c>
      <c r="H17" s="10" t="n">
        <v>0.025</v>
      </c>
      <c r="I17" s="10" t="n">
        <v>0.025</v>
      </c>
      <c r="J17" s="10" t="n">
        <v>0.025</v>
      </c>
    </row>
    <row r="18">
      <c r="A18" s="5" t="inlineStr">
        <is>
          <t xml:space="preserve">  Cash tax rate %</t>
        </is>
      </c>
      <c r="C18" s="10" t="n">
        <v>0.14</v>
      </c>
      <c r="D18" s="10" t="n">
        <v>0.14</v>
      </c>
      <c r="E18" s="10" t="n">
        <v>0.14</v>
      </c>
      <c r="F18" s="10" t="n">
        <v>0.14</v>
      </c>
      <c r="G18" s="10" t="n">
        <v>0.14</v>
      </c>
      <c r="H18" s="10" t="n">
        <v>0.14</v>
      </c>
      <c r="I18" s="10" t="n">
        <v>0.15</v>
      </c>
      <c r="J18" s="10" t="n">
        <v>0.15</v>
      </c>
    </row>
    <row r="19">
      <c r="A19" s="5" t="inlineStr">
        <is>
          <t xml:space="preserve">  Incr. NWC % of revenue growth</t>
        </is>
      </c>
      <c r="C19" s="10" t="n">
        <v>0.03</v>
      </c>
      <c r="D19" s="10" t="n">
        <v>0.03</v>
      </c>
      <c r="E19" s="10" t="n">
        <v>0.03</v>
      </c>
      <c r="F19" s="10" t="n">
        <v>0.03</v>
      </c>
      <c r="G19" s="10" t="n">
        <v>0.03</v>
      </c>
      <c r="H19" s="10" t="n">
        <v>0.03</v>
      </c>
      <c r="I19" s="10" t="n">
        <v>0.03</v>
      </c>
      <c r="J19" s="10" t="n">
        <v>0.03</v>
      </c>
    </row>
    <row r="21">
      <c r="A21" s="1" t="inlineStr">
        <is>
          <t>MARKET DATA &amp; WACC INPUTS</t>
        </is>
      </c>
    </row>
    <row r="22">
      <c r="A22" s="11" t="inlineStr">
        <is>
          <t>Current share price ($)</t>
        </is>
      </c>
      <c r="C22" s="12" t="n">
        <v>481.62</v>
      </c>
    </row>
    <row r="23">
      <c r="A23" s="11" t="inlineStr">
        <is>
          <t>Diluted shares (M)</t>
        </is>
      </c>
      <c r="C23" s="6" t="n">
        <v>4730</v>
      </c>
    </row>
    <row r="24">
      <c r="A24" s="11" t="inlineStr">
        <is>
          <t>Total debt ($M)</t>
        </is>
      </c>
      <c r="C24" s="6" t="n">
        <v>65000</v>
      </c>
    </row>
    <row r="25">
      <c r="A25" s="11" t="inlineStr">
        <is>
          <t>Cash &amp; equivalents ($M)</t>
        </is>
      </c>
      <c r="C25" s="6" t="n">
        <v>16000</v>
      </c>
    </row>
    <row r="26">
      <c r="A26" s="11" t="inlineStr">
        <is>
          <t>Risk-free rate %</t>
        </is>
      </c>
      <c r="C26" s="10" t="n">
        <v>0.043</v>
      </c>
    </row>
    <row r="27">
      <c r="A27" s="11" t="inlineStr">
        <is>
          <t>Equity risk premium %</t>
        </is>
      </c>
      <c r="C27" s="10" t="n">
        <v>0.05</v>
      </c>
    </row>
    <row r="28">
      <c r="A28" s="11" t="inlineStr">
        <is>
          <t>Beta</t>
        </is>
      </c>
      <c r="C28" s="13" t="n">
        <v>1.072</v>
      </c>
    </row>
    <row r="29">
      <c r="A29" s="11" t="inlineStr">
        <is>
          <t>Pre-tax cost of debt %</t>
        </is>
      </c>
      <c r="C29" s="10" t="n">
        <v>0.05</v>
      </c>
    </row>
    <row r="30">
      <c r="A30" s="11" t="inlineStr">
        <is>
          <t>Terminal growth rate %</t>
        </is>
      </c>
      <c r="C30" s="10" t="n">
        <v>0.035</v>
      </c>
    </row>
    <row r="32">
      <c r="A32" s="1" t="inlineStr">
        <is>
          <t>WACC (computed)</t>
        </is>
      </c>
    </row>
    <row r="33">
      <c r="A33" s="11" t="inlineStr">
        <is>
          <t>Cost of equity</t>
        </is>
      </c>
      <c r="C33" s="9">
        <f>C26+C28*C27</f>
        <v/>
      </c>
    </row>
    <row r="34">
      <c r="A34" s="11" t="inlineStr">
        <is>
          <t>After-tax cost of debt</t>
        </is>
      </c>
      <c r="C34" s="9">
        <f>C29*(1-E18)</f>
        <v/>
      </c>
    </row>
    <row r="35">
      <c r="A35" s="11" t="inlineStr">
        <is>
          <t>Market value of equity ($M)</t>
        </is>
      </c>
      <c r="C35" s="14">
        <f>C22*C23</f>
        <v/>
      </c>
    </row>
    <row r="36">
      <c r="A36" s="11" t="inlineStr">
        <is>
          <t>Net debt ($M)</t>
        </is>
      </c>
      <c r="C36" s="14">
        <f>C24-C25</f>
        <v/>
      </c>
    </row>
    <row r="37">
      <c r="A37" s="11" t="inlineStr">
        <is>
          <t>Equity weight</t>
        </is>
      </c>
      <c r="C37" s="9">
        <f>C35/(C35+C24)</f>
        <v/>
      </c>
    </row>
    <row r="38">
      <c r="A38" s="11" t="inlineStr">
        <is>
          <t>Debt weight</t>
        </is>
      </c>
      <c r="C38" s="9">
        <f>C24/(C35+C24)</f>
        <v/>
      </c>
    </row>
    <row r="39">
      <c r="A39" s="15" t="inlineStr">
        <is>
          <t>WACC</t>
        </is>
      </c>
      <c r="C39" s="16">
        <f>C37*C33+C38*C34</f>
        <v/>
      </c>
    </row>
  </sheetData>
  <mergeCells count="6">
    <mergeCell ref="A1:J1"/>
    <mergeCell ref="A21:D21"/>
    <mergeCell ref="A4:J4"/>
    <mergeCell ref="A2:J2"/>
    <mergeCell ref="A32:D32"/>
    <mergeCell ref="A13:J1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INCOME STATEMENT  ($M)</t>
        </is>
      </c>
    </row>
    <row r="2">
      <c r="A2" s="2" t="inlineStr">
        <is>
          <t>Revenue &amp; margins driven from Drivers tab. GAAP basis; large D&amp;A reflects acquired-intangible amortization.</t>
        </is>
      </c>
    </row>
    <row r="4">
      <c r="A4" s="3" t="inlineStr">
        <is>
          <t>($ in millions)</t>
        </is>
      </c>
      <c r="C4" s="4" t="inlineStr">
        <is>
          <t>FY2023A</t>
        </is>
      </c>
      <c r="D4" s="4" t="inlineStr">
        <is>
          <t>FY2024A</t>
        </is>
      </c>
      <c r="E4" s="4" t="inlineStr">
        <is>
          <t>FY2025A</t>
        </is>
      </c>
      <c r="F4" s="4" t="inlineStr">
        <is>
          <t>FY2026E</t>
        </is>
      </c>
      <c r="G4" s="4" t="inlineStr">
        <is>
          <t>FY2027E</t>
        </is>
      </c>
      <c r="H4" s="4" t="inlineStr">
        <is>
          <t>FY2028E</t>
        </is>
      </c>
      <c r="I4" s="4" t="inlineStr">
        <is>
          <t>FY2029E</t>
        </is>
      </c>
      <c r="J4" s="4" t="inlineStr">
        <is>
          <t>FY2030E</t>
        </is>
      </c>
    </row>
    <row r="5">
      <c r="A5" s="7" t="inlineStr">
        <is>
          <t>Total revenue</t>
        </is>
      </c>
      <c r="C5" s="8">
        <f>Drivers!C9</f>
        <v/>
      </c>
      <c r="D5" s="8">
        <f>Drivers!D9</f>
        <v/>
      </c>
      <c r="E5" s="8">
        <f>Drivers!E9</f>
        <v/>
      </c>
      <c r="F5" s="8">
        <f>Drivers!F9</f>
        <v/>
      </c>
      <c r="G5" s="8">
        <f>Drivers!G9</f>
        <v/>
      </c>
      <c r="H5" s="8">
        <f>Drivers!H9</f>
        <v/>
      </c>
      <c r="I5" s="8">
        <f>Drivers!I9</f>
        <v/>
      </c>
      <c r="J5" s="8">
        <f>Drivers!J9</f>
        <v/>
      </c>
    </row>
    <row r="7">
      <c r="A7" s="5" t="inlineStr">
        <is>
          <t>Operating income (EBIT)</t>
        </is>
      </c>
      <c r="C7" s="14">
        <f>Drivers!C15*C5</f>
        <v/>
      </c>
      <c r="D7" s="14">
        <f>Drivers!D15*D5</f>
        <v/>
      </c>
      <c r="E7" s="14">
        <f>Drivers!E15*E5</f>
        <v/>
      </c>
      <c r="F7" s="14">
        <f>Drivers!F15*F5</f>
        <v/>
      </c>
      <c r="G7" s="14">
        <f>Drivers!G15*G5</f>
        <v/>
      </c>
      <c r="H7" s="14">
        <f>Drivers!H15*H5</f>
        <v/>
      </c>
      <c r="I7" s="14">
        <f>Drivers!I15*I5</f>
        <v/>
      </c>
      <c r="J7" s="14">
        <f>Drivers!J15*J5</f>
        <v/>
      </c>
    </row>
    <row r="8">
      <c r="A8" s="5" t="inlineStr">
        <is>
          <t>(+) Depreciation &amp; amortization</t>
        </is>
      </c>
      <c r="C8" s="14">
        <f>Drivers!C16*C5</f>
        <v/>
      </c>
      <c r="D8" s="14">
        <f>Drivers!D16*D5</f>
        <v/>
      </c>
      <c r="E8" s="14">
        <f>Drivers!E16*E5</f>
        <v/>
      </c>
      <c r="F8" s="14">
        <f>Drivers!F16*F5</f>
        <v/>
      </c>
      <c r="G8" s="14">
        <f>Drivers!G16*G5</f>
        <v/>
      </c>
      <c r="H8" s="14">
        <f>Drivers!H16*H5</f>
        <v/>
      </c>
      <c r="I8" s="14">
        <f>Drivers!I16*I5</f>
        <v/>
      </c>
      <c r="J8" s="14">
        <f>Drivers!J16*J5</f>
        <v/>
      </c>
    </row>
    <row r="9">
      <c r="A9" s="7" t="inlineStr">
        <is>
          <t>EBITDA</t>
        </is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  <c r="G9" s="8">
        <f>G7+G8</f>
        <v/>
      </c>
      <c r="H9" s="8">
        <f>H7+H8</f>
        <v/>
      </c>
      <c r="I9" s="8">
        <f>I7+I8</f>
        <v/>
      </c>
      <c r="J9" s="8">
        <f>J7+J8</f>
        <v/>
      </c>
    </row>
    <row r="10">
      <c r="A10" s="5" t="inlineStr">
        <is>
          <t>(-) Net interest expense</t>
        </is>
      </c>
      <c r="C10" s="6" t="n">
        <v>1622</v>
      </c>
      <c r="D10" s="6" t="n">
        <v>3598</v>
      </c>
      <c r="E10" s="6" t="n">
        <v>3500</v>
      </c>
      <c r="F10" s="14">
        <f>AVERAGE('Balance Sheet'!F7,'Balance Sheet'!E7)*Drivers!C29</f>
        <v/>
      </c>
      <c r="G10" s="14">
        <f>AVERAGE('Balance Sheet'!G7,'Balance Sheet'!F7)*Drivers!C29</f>
        <v/>
      </c>
      <c r="H10" s="14">
        <f>AVERAGE('Balance Sheet'!H7,'Balance Sheet'!G7)*Drivers!C29</f>
        <v/>
      </c>
      <c r="I10" s="14">
        <f>AVERAGE('Balance Sheet'!I7,'Balance Sheet'!H7)*Drivers!C29</f>
        <v/>
      </c>
      <c r="J10" s="14">
        <f>AVERAGE('Balance Sheet'!J7,'Balance Sheet'!I7)*Drivers!C29</f>
        <v/>
      </c>
    </row>
    <row r="11">
      <c r="A11" s="5" t="inlineStr">
        <is>
          <t>Pre-tax income</t>
        </is>
      </c>
      <c r="C11" s="14">
        <f>C9-C8-C10</f>
        <v/>
      </c>
      <c r="D11" s="14">
        <f>D9-D8-D10</f>
        <v/>
      </c>
      <c r="E11" s="14">
        <f>E9-E8-E10</f>
        <v/>
      </c>
      <c r="F11" s="14">
        <f>F9-F8-F10</f>
        <v/>
      </c>
      <c r="G11" s="14">
        <f>G9-G8-G10</f>
        <v/>
      </c>
      <c r="H11" s="14">
        <f>H9-H8-H10</f>
        <v/>
      </c>
      <c r="I11" s="14">
        <f>I9-I8-I10</f>
        <v/>
      </c>
      <c r="J11" s="14">
        <f>J9-J8-J10</f>
        <v/>
      </c>
    </row>
    <row r="12">
      <c r="A12" s="5" t="inlineStr">
        <is>
          <t>(-) Income taxes</t>
        </is>
      </c>
      <c r="C12" s="14">
        <f>C11*Drivers!C18</f>
        <v/>
      </c>
      <c r="D12" s="14">
        <f>D11*Drivers!D18</f>
        <v/>
      </c>
      <c r="E12" s="14">
        <f>E11*Drivers!E18</f>
        <v/>
      </c>
      <c r="F12" s="14">
        <f>F11*Drivers!F18</f>
        <v/>
      </c>
      <c r="G12" s="14">
        <f>G11*Drivers!G18</f>
        <v/>
      </c>
      <c r="H12" s="14">
        <f>H11*Drivers!H18</f>
        <v/>
      </c>
      <c r="I12" s="14">
        <f>I11*Drivers!I18</f>
        <v/>
      </c>
      <c r="J12" s="14">
        <f>J11*Drivers!J18</f>
        <v/>
      </c>
    </row>
    <row r="13">
      <c r="A13" s="7" t="inlineStr">
        <is>
          <t>Net income (GAAP)</t>
        </is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</row>
    <row r="14">
      <c r="A14" s="5" t="inlineStr">
        <is>
          <t>Net margin %</t>
        </is>
      </c>
      <c r="C14" s="9">
        <f>C13/C5</f>
        <v/>
      </c>
      <c r="D14" s="9">
        <f>D13/D5</f>
        <v/>
      </c>
      <c r="E14" s="9">
        <f>E13/E5</f>
        <v/>
      </c>
      <c r="F14" s="9">
        <f>F13/F5</f>
        <v/>
      </c>
      <c r="G14" s="9">
        <f>G13/G5</f>
        <v/>
      </c>
      <c r="H14" s="9">
        <f>H13/H5</f>
        <v/>
      </c>
      <c r="I14" s="9">
        <f>I13/I5</f>
        <v/>
      </c>
      <c r="J14" s="9">
        <f>J13/J5</f>
        <v/>
      </c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BALANCE SHEET (summary)  ($M)</t>
        </is>
      </c>
    </row>
    <row r="2">
      <c r="A2" s="2" t="inlineStr">
        <is>
          <t>Cash builds from levered FCF; debt amortizes on a schedule; equity rolls with NI less dividends &amp; buybacks.</t>
        </is>
      </c>
    </row>
    <row r="4">
      <c r="A4" s="3" t="inlineStr">
        <is>
          <t>($ in millions)</t>
        </is>
      </c>
      <c r="C4" s="4" t="inlineStr">
        <is>
          <t>FY2023A</t>
        </is>
      </c>
      <c r="D4" s="4" t="inlineStr">
        <is>
          <t>FY2024A</t>
        </is>
      </c>
      <c r="E4" s="4" t="inlineStr">
        <is>
          <t>FY2025A</t>
        </is>
      </c>
      <c r="F4" s="4" t="inlineStr">
        <is>
          <t>FY2026E</t>
        </is>
      </c>
      <c r="G4" s="4" t="inlineStr">
        <is>
          <t>FY2027E</t>
        </is>
      </c>
      <c r="H4" s="4" t="inlineStr">
        <is>
          <t>FY2028E</t>
        </is>
      </c>
      <c r="I4" s="4" t="inlineStr">
        <is>
          <t>FY2029E</t>
        </is>
      </c>
      <c r="J4" s="4" t="inlineStr">
        <is>
          <t>FY2030E</t>
        </is>
      </c>
    </row>
    <row r="5">
      <c r="A5" s="5" t="inlineStr">
        <is>
          <t>Cash &amp; equivalents</t>
        </is>
      </c>
      <c r="C5" s="6" t="n">
        <v>14189</v>
      </c>
      <c r="D5" s="6" t="n">
        <v>9348</v>
      </c>
      <c r="E5" s="6" t="n">
        <v>10500</v>
      </c>
      <c r="F5" s="14">
        <f>E5+'Cash Flow'!F13-F10-F11</f>
        <v/>
      </c>
      <c r="G5" s="14">
        <f>F5+'Cash Flow'!G13-G10-G11</f>
        <v/>
      </c>
      <c r="H5" s="14">
        <f>G5+'Cash Flow'!H13-H10-H11</f>
        <v/>
      </c>
      <c r="I5" s="14">
        <f>H5+'Cash Flow'!I13-I10-I11</f>
        <v/>
      </c>
      <c r="J5" s="14">
        <f>I5+'Cash Flow'!J13-J10-J11</f>
        <v/>
      </c>
    </row>
    <row r="6">
      <c r="A6" s="5" t="inlineStr">
        <is>
          <t>Other assets (plug)</t>
        </is>
      </c>
      <c r="C6" s="14">
        <f>C7+C8-C5</f>
        <v/>
      </c>
      <c r="D6" s="14">
        <f>D7+D8-D5</f>
        <v/>
      </c>
      <c r="E6" s="14">
        <f>E7+E8-E5</f>
        <v/>
      </c>
      <c r="F6" s="14">
        <f>F7+F8-F5</f>
        <v/>
      </c>
      <c r="G6" s="14">
        <f>G7+G8-G5</f>
        <v/>
      </c>
      <c r="H6" s="14">
        <f>H7+H8-H5</f>
        <v/>
      </c>
      <c r="I6" s="14">
        <f>I7+I8-I5</f>
        <v/>
      </c>
      <c r="J6" s="14">
        <f>J7+J8-J5</f>
        <v/>
      </c>
    </row>
    <row r="7">
      <c r="A7" s="5" t="inlineStr">
        <is>
          <t>Total debt</t>
        </is>
      </c>
      <c r="C7" s="6" t="n">
        <v>39229</v>
      </c>
      <c r="D7" s="6" t="n">
        <v>69955</v>
      </c>
      <c r="E7" s="6" t="n">
        <v>67500</v>
      </c>
      <c r="F7" s="14">
        <f>E7-F10</f>
        <v/>
      </c>
      <c r="G7" s="14">
        <f>F7-G10</f>
        <v/>
      </c>
      <c r="H7" s="14">
        <f>G7-H10</f>
        <v/>
      </c>
      <c r="I7" s="14">
        <f>H7-I10</f>
        <v/>
      </c>
      <c r="J7" s="14">
        <f>I7-J10</f>
        <v/>
      </c>
    </row>
    <row r="8">
      <c r="A8" s="5" t="inlineStr">
        <is>
          <t>Shareholders' equity</t>
        </is>
      </c>
      <c r="C8" s="6" t="n">
        <v>49902</v>
      </c>
      <c r="D8" s="6" t="n">
        <v>67998</v>
      </c>
      <c r="E8" s="6" t="n">
        <v>70000</v>
      </c>
      <c r="F8" s="14">
        <f>E8+'Income Statement'!F13-F11</f>
        <v/>
      </c>
      <c r="G8" s="14">
        <f>F8+'Income Statement'!G13-G11</f>
        <v/>
      </c>
      <c r="H8" s="14">
        <f>G8+'Income Statement'!H13-H11</f>
        <v/>
      </c>
      <c r="I8" s="14">
        <f>H8+'Income Statement'!I13-I11</f>
        <v/>
      </c>
      <c r="J8" s="14">
        <f>I8+'Income Statement'!J13-J11</f>
        <v/>
      </c>
    </row>
    <row r="9">
      <c r="A9" s="7" t="inlineStr">
        <is>
          <t>Net debt</t>
        </is>
      </c>
      <c r="C9" s="8">
        <f>C7-C5</f>
        <v/>
      </c>
      <c r="D9" s="8">
        <f>D7-D5</f>
        <v/>
      </c>
      <c r="E9" s="8">
        <f>E7-E5</f>
        <v/>
      </c>
      <c r="F9" s="8">
        <f>F7-F5</f>
        <v/>
      </c>
      <c r="G9" s="8">
        <f>G7-G5</f>
        <v/>
      </c>
      <c r="H9" s="8">
        <f>H7-H5</f>
        <v/>
      </c>
      <c r="I9" s="8">
        <f>I7-I5</f>
        <v/>
      </c>
      <c r="J9" s="8">
        <f>J7-J5</f>
        <v/>
      </c>
    </row>
    <row r="10">
      <c r="A10" s="5" t="inlineStr">
        <is>
          <t>Debt repayment (in year)</t>
        </is>
      </c>
      <c r="F10" s="6" t="n">
        <v>6000</v>
      </c>
      <c r="G10" s="6" t="n">
        <v>6000</v>
      </c>
      <c r="H10" s="6" t="n">
        <v>5000</v>
      </c>
      <c r="I10" s="6" t="n">
        <v>4000</v>
      </c>
      <c r="J10" s="6" t="n">
        <v>3000</v>
      </c>
    </row>
    <row r="11">
      <c r="A11" s="5" t="inlineStr">
        <is>
          <t>Dividends + buybacks</t>
        </is>
      </c>
      <c r="F11" s="6" t="n">
        <v>14000</v>
      </c>
      <c r="G11" s="6" t="n">
        <v>16000</v>
      </c>
      <c r="H11" s="6" t="n">
        <v>18000</v>
      </c>
      <c r="I11" s="6" t="n">
        <v>20000</v>
      </c>
      <c r="J11" s="6" t="n">
        <v>22000</v>
      </c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CASH FLOW &amp; FREE CASH FLOW  ($M)</t>
        </is>
      </c>
    </row>
    <row r="2">
      <c r="A2" s="2" t="inlineStr">
        <is>
          <t>Unlevered FCF feeds the DCF. Levered FCF (after interest) feeds the Balance Sheet cash roll.</t>
        </is>
      </c>
    </row>
    <row r="4">
      <c r="A4" s="3" t="inlineStr">
        <is>
          <t>($ in millions)</t>
        </is>
      </c>
      <c r="C4" s="4" t="inlineStr">
        <is>
          <t>FY2023A</t>
        </is>
      </c>
      <c r="D4" s="4" t="inlineStr">
        <is>
          <t>FY2024A</t>
        </is>
      </c>
      <c r="E4" s="4" t="inlineStr">
        <is>
          <t>FY2025A</t>
        </is>
      </c>
      <c r="F4" s="4" t="inlineStr">
        <is>
          <t>FY2026E</t>
        </is>
      </c>
      <c r="G4" s="4" t="inlineStr">
        <is>
          <t>FY2027E</t>
        </is>
      </c>
      <c r="H4" s="4" t="inlineStr">
        <is>
          <t>FY2028E</t>
        </is>
      </c>
      <c r="I4" s="4" t="inlineStr">
        <is>
          <t>FY2029E</t>
        </is>
      </c>
      <c r="J4" s="4" t="inlineStr">
        <is>
          <t>FY2030E</t>
        </is>
      </c>
    </row>
    <row r="5">
      <c r="A5" s="5" t="inlineStr">
        <is>
          <t>EBIT (operating income)</t>
        </is>
      </c>
      <c r="C5" s="14">
        <f>'Income Statement'!C7</f>
        <v/>
      </c>
      <c r="D5" s="14">
        <f>'Income Statement'!D7</f>
        <v/>
      </c>
      <c r="E5" s="14">
        <f>'Income Statement'!E7</f>
        <v/>
      </c>
      <c r="F5" s="14">
        <f>'Income Statement'!F7</f>
        <v/>
      </c>
      <c r="G5" s="14">
        <f>'Income Statement'!G7</f>
        <v/>
      </c>
      <c r="H5" s="14">
        <f>'Income Statement'!H7</f>
        <v/>
      </c>
      <c r="I5" s="14">
        <f>'Income Statement'!I7</f>
        <v/>
      </c>
      <c r="J5" s="14">
        <f>'Income Statement'!J7</f>
        <v/>
      </c>
    </row>
    <row r="6">
      <c r="A6" s="5" t="inlineStr">
        <is>
          <t>(-) Cash taxes on EBIT</t>
        </is>
      </c>
      <c r="C6" s="14">
        <f>C5*Drivers!C18</f>
        <v/>
      </c>
      <c r="D6" s="14">
        <f>D5*Drivers!D18</f>
        <v/>
      </c>
      <c r="E6" s="14">
        <f>E5*Drivers!E18</f>
        <v/>
      </c>
      <c r="F6" s="14">
        <f>F5*Drivers!F18</f>
        <v/>
      </c>
      <c r="G6" s="14">
        <f>G5*Drivers!G18</f>
        <v/>
      </c>
      <c r="H6" s="14">
        <f>H5*Drivers!H18</f>
        <v/>
      </c>
      <c r="I6" s="14">
        <f>I5*Drivers!I18</f>
        <v/>
      </c>
      <c r="J6" s="14">
        <f>J5*Drivers!J18</f>
        <v/>
      </c>
    </row>
    <row r="7">
      <c r="A7" s="5" t="inlineStr">
        <is>
          <t>NOPAT</t>
        </is>
      </c>
      <c r="C7" s="8">
        <f>C5-C6</f>
        <v/>
      </c>
      <c r="D7" s="8">
        <f>D5-D6</f>
        <v/>
      </c>
      <c r="E7" s="8">
        <f>E5-E6</f>
        <v/>
      </c>
      <c r="F7" s="8">
        <f>F5-F6</f>
        <v/>
      </c>
      <c r="G7" s="8">
        <f>G5-G6</f>
        <v/>
      </c>
      <c r="H7" s="8">
        <f>H5-H6</f>
        <v/>
      </c>
      <c r="I7" s="8">
        <f>I5-I6</f>
        <v/>
      </c>
      <c r="J7" s="8">
        <f>J5-J6</f>
        <v/>
      </c>
    </row>
    <row r="8">
      <c r="A8" s="5" t="inlineStr">
        <is>
          <t>(+) Depreciation &amp; amortization</t>
        </is>
      </c>
      <c r="C8" s="14">
        <f>'Income Statement'!C8</f>
        <v/>
      </c>
      <c r="D8" s="14">
        <f>'Income Statement'!D8</f>
        <v/>
      </c>
      <c r="E8" s="14">
        <f>'Income Statement'!E8</f>
        <v/>
      </c>
      <c r="F8" s="14">
        <f>'Income Statement'!F8</f>
        <v/>
      </c>
      <c r="G8" s="14">
        <f>'Income Statement'!G8</f>
        <v/>
      </c>
      <c r="H8" s="14">
        <f>'Income Statement'!H8</f>
        <v/>
      </c>
      <c r="I8" s="14">
        <f>'Income Statement'!I8</f>
        <v/>
      </c>
      <c r="J8" s="14">
        <f>'Income Statement'!J8</f>
        <v/>
      </c>
    </row>
    <row r="9">
      <c r="A9" s="5" t="inlineStr">
        <is>
          <t>(-) Capex</t>
        </is>
      </c>
      <c r="C9" s="14">
        <f>Drivers!C17*Drivers!C9</f>
        <v/>
      </c>
      <c r="D9" s="14">
        <f>Drivers!D17*Drivers!D9</f>
        <v/>
      </c>
      <c r="E9" s="14">
        <f>Drivers!E17*Drivers!E9</f>
        <v/>
      </c>
      <c r="F9" s="14">
        <f>Drivers!F17*Drivers!F9</f>
        <v/>
      </c>
      <c r="G9" s="14">
        <f>Drivers!G17*Drivers!G9</f>
        <v/>
      </c>
      <c r="H9" s="14">
        <f>Drivers!H17*Drivers!H9</f>
        <v/>
      </c>
      <c r="I9" s="14">
        <f>Drivers!I17*Drivers!I9</f>
        <v/>
      </c>
      <c r="J9" s="14">
        <f>Drivers!J17*Drivers!J9</f>
        <v/>
      </c>
    </row>
    <row r="10">
      <c r="A10" s="5" t="inlineStr">
        <is>
          <t>(-) Increase in net working capital</t>
        </is>
      </c>
      <c r="C10" s="14">
        <f>0</f>
        <v/>
      </c>
      <c r="D10" s="14">
        <f>(D5/Drivers!D15-C5/Drivers!C15)*Drivers!D19</f>
        <v/>
      </c>
      <c r="E10" s="14">
        <f>(E5/Drivers!E15-D5/Drivers!D15)*Drivers!E19</f>
        <v/>
      </c>
      <c r="F10" s="14">
        <f>(F5/Drivers!F15-E5/Drivers!E15)*Drivers!F19</f>
        <v/>
      </c>
      <c r="G10" s="14">
        <f>(G5/Drivers!G15-F5/Drivers!F15)*Drivers!G19</f>
        <v/>
      </c>
      <c r="H10" s="14">
        <f>(H5/Drivers!H15-G5/Drivers!G15)*Drivers!H19</f>
        <v/>
      </c>
      <c r="I10" s="14">
        <f>(I5/Drivers!I15-H5/Drivers!H15)*Drivers!I19</f>
        <v/>
      </c>
      <c r="J10" s="14">
        <f>(J5/Drivers!J15-I5/Drivers!I15)*Drivers!J19</f>
        <v/>
      </c>
    </row>
    <row r="11">
      <c r="A11" s="7" t="inlineStr">
        <is>
          <t>Unlevered free cash flow</t>
        </is>
      </c>
      <c r="C11" s="17">
        <f>C7+C8-C9-C10</f>
        <v/>
      </c>
      <c r="D11" s="17">
        <f>D7+D8-D9-D10</f>
        <v/>
      </c>
      <c r="E11" s="17">
        <f>E7+E8-E9-E10</f>
        <v/>
      </c>
      <c r="F11" s="17">
        <f>F7+F8-F9-F10</f>
        <v/>
      </c>
      <c r="G11" s="17">
        <f>G7+G8-G9-G10</f>
        <v/>
      </c>
      <c r="H11" s="17">
        <f>H7+H8-H9-H10</f>
        <v/>
      </c>
      <c r="I11" s="17">
        <f>I7+I8-I9-I10</f>
        <v/>
      </c>
      <c r="J11" s="17">
        <f>J7+J8-J9-J10</f>
        <v/>
      </c>
    </row>
    <row r="12">
      <c r="A12" s="5" t="inlineStr">
        <is>
          <t>(-) After-tax net interest</t>
        </is>
      </c>
      <c r="C12" s="14">
        <f>'Income Statement'!C10*(1-Drivers!C18)</f>
        <v/>
      </c>
      <c r="D12" s="14">
        <f>'Income Statement'!D10*(1-Drivers!D18)</f>
        <v/>
      </c>
      <c r="E12" s="14">
        <f>'Income Statement'!E10*(1-Drivers!E18)</f>
        <v/>
      </c>
      <c r="F12" s="14">
        <f>'Income Statement'!F10*(1-Drivers!F18)</f>
        <v/>
      </c>
      <c r="G12" s="14">
        <f>'Income Statement'!G10*(1-Drivers!G18)</f>
        <v/>
      </c>
      <c r="H12" s="14">
        <f>'Income Statement'!H10*(1-Drivers!H18)</f>
        <v/>
      </c>
      <c r="I12" s="14">
        <f>'Income Statement'!I10*(1-Drivers!I18)</f>
        <v/>
      </c>
      <c r="J12" s="14">
        <f>'Income Statement'!J10*(1-Drivers!J18)</f>
        <v/>
      </c>
    </row>
    <row r="13">
      <c r="A13" s="7" t="inlineStr">
        <is>
          <t>Levered free cash flow</t>
        </is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</row>
    <row r="14">
      <c r="A14" s="5" t="inlineStr">
        <is>
          <t>Unlevered FCF margin %</t>
        </is>
      </c>
      <c r="C14" s="9">
        <f>C11/Drivers!C9</f>
        <v/>
      </c>
      <c r="D14" s="9">
        <f>D11/Drivers!D9</f>
        <v/>
      </c>
      <c r="E14" s="9">
        <f>E11/Drivers!E9</f>
        <v/>
      </c>
      <c r="F14" s="9">
        <f>F11/Drivers!F9</f>
        <v/>
      </c>
      <c r="G14" s="9">
        <f>G11/Drivers!G9</f>
        <v/>
      </c>
      <c r="H14" s="9">
        <f>H11/Drivers!H9</f>
        <v/>
      </c>
      <c r="I14" s="9">
        <f>I11/Drivers!I9</f>
        <v/>
      </c>
      <c r="J14" s="9">
        <f>J11/Drivers!J9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DISCOUNTED CASH FLOW VALUATION</t>
        </is>
      </c>
    </row>
    <row r="2">
      <c r="A2" s="2" t="inlineStr">
        <is>
          <t>Unlevered FCF (Cash Flow tab) discounted at WACC (Drivers). Terminal value via Gordon growth. $ in millions except per-share.</t>
        </is>
      </c>
    </row>
    <row r="4">
      <c r="A4" s="18" t="inlineStr">
        <is>
          <t>Projection year</t>
        </is>
      </c>
      <c r="B4" s="4" t="inlineStr">
        <is>
          <t>FY2026E</t>
        </is>
      </c>
      <c r="C4" s="4" t="inlineStr">
        <is>
          <t>FY2027E</t>
        </is>
      </c>
      <c r="D4" s="4" t="inlineStr">
        <is>
          <t>FY2028E</t>
        </is>
      </c>
      <c r="E4" s="4" t="inlineStr">
        <is>
          <t>FY2029E</t>
        </is>
      </c>
      <c r="F4" s="4" t="inlineStr">
        <is>
          <t>FY2030E</t>
        </is>
      </c>
    </row>
    <row r="5">
      <c r="A5" s="11" t="inlineStr">
        <is>
          <t>Period (n)</t>
        </is>
      </c>
      <c r="B5" s="14">
        <f>1</f>
        <v/>
      </c>
      <c r="C5" s="14">
        <f>2</f>
        <v/>
      </c>
      <c r="D5" s="14">
        <f>3</f>
        <v/>
      </c>
      <c r="E5" s="14">
        <f>4</f>
        <v/>
      </c>
      <c r="F5" s="14">
        <f>5</f>
        <v/>
      </c>
    </row>
    <row r="6">
      <c r="A6" s="11" t="inlineStr">
        <is>
          <t>Unlevered FCF</t>
        </is>
      </c>
      <c r="B6" s="14">
        <f>'Cash Flow'!F11</f>
        <v/>
      </c>
      <c r="C6" s="14">
        <f>'Cash Flow'!G11</f>
        <v/>
      </c>
      <c r="D6" s="14">
        <f>'Cash Flow'!H11</f>
        <v/>
      </c>
      <c r="E6" s="14">
        <f>'Cash Flow'!I11</f>
        <v/>
      </c>
      <c r="F6" s="14">
        <f>'Cash Flow'!J11</f>
        <v/>
      </c>
    </row>
    <row r="7">
      <c r="A7" s="11" t="inlineStr">
        <is>
          <t>Discount factor @ WACC</t>
        </is>
      </c>
      <c r="B7" s="19">
        <f>1/(1+Drivers!C39)^B5</f>
        <v/>
      </c>
      <c r="C7" s="19">
        <f>1/(1+Drivers!C39)^C5</f>
        <v/>
      </c>
      <c r="D7" s="19">
        <f>1/(1+Drivers!C39)^D5</f>
        <v/>
      </c>
      <c r="E7" s="19">
        <f>1/(1+Drivers!C39)^E5</f>
        <v/>
      </c>
      <c r="F7" s="19">
        <f>1/(1+Drivers!C39)^F5</f>
        <v/>
      </c>
    </row>
    <row r="8">
      <c r="A8" s="15" t="inlineStr">
        <is>
          <t>PV of unlevered FCF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</row>
    <row r="10">
      <c r="A10" s="11" t="inlineStr">
        <is>
          <t>Sum of PV of explicit FCF (FY26-30)</t>
        </is>
      </c>
      <c r="C10" s="14">
        <f>SUM(B8:F8)</f>
        <v/>
      </c>
    </row>
    <row r="11">
      <c r="A11" s="11" t="inlineStr">
        <is>
          <t>Terminal-year FCF (FY2030)</t>
        </is>
      </c>
      <c r="C11" s="14">
        <f>F6</f>
        <v/>
      </c>
    </row>
    <row r="12">
      <c r="A12" s="11" t="inlineStr">
        <is>
          <t>Terminal value (Gordon growth)</t>
        </is>
      </c>
      <c r="C12" s="14">
        <f>F6*(1+Drivers!C30)/(Drivers!C39-Drivers!C30)</f>
        <v/>
      </c>
    </row>
    <row r="13">
      <c r="A13" s="11" t="inlineStr">
        <is>
          <t>PV of terminal value</t>
        </is>
      </c>
      <c r="C13" s="14">
        <f>C12*F7</f>
        <v/>
      </c>
    </row>
    <row r="14">
      <c r="A14" s="15" t="inlineStr">
        <is>
          <t>Enterprise value</t>
        </is>
      </c>
      <c r="C14" s="8">
        <f>C10+C13</f>
        <v/>
      </c>
    </row>
    <row r="15">
      <c r="A15" s="11" t="inlineStr">
        <is>
          <t>(-) Net debt</t>
        </is>
      </c>
      <c r="C15" s="14">
        <f>Drivers!C36</f>
        <v/>
      </c>
    </row>
    <row r="16">
      <c r="A16" s="11" t="inlineStr">
        <is>
          <t>Equity value</t>
        </is>
      </c>
      <c r="C16" s="14">
        <f>C14-C15</f>
        <v/>
      </c>
    </row>
    <row r="17">
      <c r="A17" s="11" t="inlineStr">
        <is>
          <t>Diluted shares (M)</t>
        </is>
      </c>
      <c r="C17" s="14">
        <f>Drivers!C23</f>
        <v/>
      </c>
    </row>
    <row r="18">
      <c r="A18" s="15" t="inlineStr">
        <is>
          <t>Implied value per share ($)</t>
        </is>
      </c>
      <c r="C18" s="20">
        <f>C16/C17</f>
        <v/>
      </c>
    </row>
    <row r="19">
      <c r="A19" s="11" t="inlineStr">
        <is>
          <t>Current share price ($)</t>
        </is>
      </c>
      <c r="C19" s="21">
        <f>Drivers!C22</f>
        <v/>
      </c>
    </row>
    <row r="20">
      <c r="A20" s="11" t="inlineStr">
        <is>
          <t>Upside / (downside) to current</t>
        </is>
      </c>
      <c r="C20" s="9">
        <f>C18/C19-1</f>
        <v/>
      </c>
    </row>
    <row r="21">
      <c r="A21" s="11" t="inlineStr">
        <is>
          <t>TV as % of enterprise value</t>
        </is>
      </c>
      <c r="C21" s="9">
        <f>C13/C14</f>
        <v/>
      </c>
    </row>
    <row r="22">
      <c r="A22" s="1" t="inlineStr">
        <is>
          <t>SENSITIVITY — Implied value per share ($):  WACC (down) x Terminal growth (across)</t>
        </is>
      </c>
    </row>
    <row r="23">
      <c r="B23" s="3" t="inlineStr">
        <is>
          <t>Terminal g →</t>
        </is>
      </c>
      <c r="C23" s="22" t="n">
        <v>0.025</v>
      </c>
      <c r="D23" s="22" t="n">
        <v>0.03</v>
      </c>
      <c r="E23" s="22" t="n">
        <v>0.035</v>
      </c>
      <c r="F23" s="22" t="n">
        <v>0.04</v>
      </c>
      <c r="G23" s="22" t="n">
        <v>0.045</v>
      </c>
    </row>
    <row r="24">
      <c r="A24" s="3" t="inlineStr">
        <is>
          <t>WACC ↓</t>
        </is>
      </c>
      <c r="B24" s="22" t="n">
        <v>0.08500000000000001</v>
      </c>
      <c r="C24" s="21">
        <f>(($B$6/(1+$B$24)^1+$C$6/(1+$B$24)^2+$D$6/(1+$B$24)^3+$E$6/(1+$B$24)^4+$F$6/(1+$B$24)^5)+(($F$6*(1+C$23)/($B$24-C$23))/(1+$B$24)^5)-Drivers!$C$36)/Drivers!$C$23</f>
        <v/>
      </c>
      <c r="D24" s="21">
        <f>(($B$6/(1+$B$24)^1+$C$6/(1+$B$24)^2+$D$6/(1+$B$24)^3+$E$6/(1+$B$24)^4+$F$6/(1+$B$24)^5)+(($F$6*(1+D$23)/($B$24-D$23))/(1+$B$24)^5)-Drivers!$C$36)/Drivers!$C$23</f>
        <v/>
      </c>
      <c r="E24" s="21">
        <f>(($B$6/(1+$B$24)^1+$C$6/(1+$B$24)^2+$D$6/(1+$B$24)^3+$E$6/(1+$B$24)^4+$F$6/(1+$B$24)^5)+(($F$6*(1+E$23)/($B$24-E$23))/(1+$B$24)^5)-Drivers!$C$36)/Drivers!$C$23</f>
        <v/>
      </c>
      <c r="F24" s="21">
        <f>(($B$6/(1+$B$24)^1+$C$6/(1+$B$24)^2+$D$6/(1+$B$24)^3+$E$6/(1+$B$24)^4+$F$6/(1+$B$24)^5)+(($F$6*(1+F$23)/($B$24-F$23))/(1+$B$24)^5)-Drivers!$C$36)/Drivers!$C$23</f>
        <v/>
      </c>
      <c r="G24" s="21">
        <f>(($B$6/(1+$B$24)^1+$C$6/(1+$B$24)^2+$D$6/(1+$B$24)^3+$E$6/(1+$B$24)^4+$F$6/(1+$B$24)^5)+(($F$6*(1+G$23)/($B$24-G$23))/(1+$B$24)^5)-Drivers!$C$36)/Drivers!$C$23</f>
        <v/>
      </c>
    </row>
    <row r="25">
      <c r="B25" s="22" t="n">
        <v>0.09</v>
      </c>
      <c r="C25" s="21">
        <f>(($B$6/(1+$B$25)^1+$C$6/(1+$B$25)^2+$D$6/(1+$B$25)^3+$E$6/(1+$B$25)^4+$F$6/(1+$B$25)^5)+(($F$6*(1+C$23)/($B$25-C$23))/(1+$B$25)^5)-Drivers!$C$36)/Drivers!$C$23</f>
        <v/>
      </c>
      <c r="D25" s="21">
        <f>(($B$6/(1+$B$25)^1+$C$6/(1+$B$25)^2+$D$6/(1+$B$25)^3+$E$6/(1+$B$25)^4+$F$6/(1+$B$25)^5)+(($F$6*(1+D$23)/($B$25-D$23))/(1+$B$25)^5)-Drivers!$C$36)/Drivers!$C$23</f>
        <v/>
      </c>
      <c r="E25" s="21">
        <f>(($B$6/(1+$B$25)^1+$C$6/(1+$B$25)^2+$D$6/(1+$B$25)^3+$E$6/(1+$B$25)^4+$F$6/(1+$B$25)^5)+(($F$6*(1+E$23)/($B$25-E$23))/(1+$B$25)^5)-Drivers!$C$36)/Drivers!$C$23</f>
        <v/>
      </c>
      <c r="F25" s="21">
        <f>(($B$6/(1+$B$25)^1+$C$6/(1+$B$25)^2+$D$6/(1+$B$25)^3+$E$6/(1+$B$25)^4+$F$6/(1+$B$25)^5)+(($F$6*(1+F$23)/($B$25-F$23))/(1+$B$25)^5)-Drivers!$C$36)/Drivers!$C$23</f>
        <v/>
      </c>
      <c r="G25" s="21">
        <f>(($B$6/(1+$B$25)^1+$C$6/(1+$B$25)^2+$D$6/(1+$B$25)^3+$E$6/(1+$B$25)^4+$F$6/(1+$B$25)^5)+(($F$6*(1+G$23)/($B$25-G$23))/(1+$B$25)^5)-Drivers!$C$36)/Drivers!$C$23</f>
        <v/>
      </c>
    </row>
    <row r="26">
      <c r="B26" s="22" t="n">
        <v>0.095</v>
      </c>
      <c r="C26" s="21">
        <f>(($B$6/(1+$B$26)^1+$C$6/(1+$B$26)^2+$D$6/(1+$B$26)^3+$E$6/(1+$B$26)^4+$F$6/(1+$B$26)^5)+(($F$6*(1+C$23)/($B$26-C$23))/(1+$B$26)^5)-Drivers!$C$36)/Drivers!$C$23</f>
        <v/>
      </c>
      <c r="D26" s="21">
        <f>(($B$6/(1+$B$26)^1+$C$6/(1+$B$26)^2+$D$6/(1+$B$26)^3+$E$6/(1+$B$26)^4+$F$6/(1+$B$26)^5)+(($F$6*(1+D$23)/($B$26-D$23))/(1+$B$26)^5)-Drivers!$C$36)/Drivers!$C$23</f>
        <v/>
      </c>
      <c r="E26" s="23">
        <f>(($B$6/(1+$B$26)^1+$C$6/(1+$B$26)^2+$D$6/(1+$B$26)^3+$E$6/(1+$B$26)^4+$F$6/(1+$B$26)^5)+(($F$6*(1+E$23)/($B$26-E$23))/(1+$B$26)^5)-Drivers!$C$36)/Drivers!$C$23</f>
        <v/>
      </c>
      <c r="F26" s="21">
        <f>(($B$6/(1+$B$26)^1+$C$6/(1+$B$26)^2+$D$6/(1+$B$26)^3+$E$6/(1+$B$26)^4+$F$6/(1+$B$26)^5)+(($F$6*(1+F$23)/($B$26-F$23))/(1+$B$26)^5)-Drivers!$C$36)/Drivers!$C$23</f>
        <v/>
      </c>
      <c r="G26" s="21">
        <f>(($B$6/(1+$B$26)^1+$C$6/(1+$B$26)^2+$D$6/(1+$B$26)^3+$E$6/(1+$B$26)^4+$F$6/(1+$B$26)^5)+(($F$6*(1+G$23)/($B$26-G$23))/(1+$B$26)^5)-Drivers!$C$36)/Drivers!$C$23</f>
        <v/>
      </c>
    </row>
    <row r="27">
      <c r="B27" s="22" t="n">
        <v>0.1</v>
      </c>
      <c r="C27" s="21">
        <f>(($B$6/(1+$B$27)^1+$C$6/(1+$B$27)^2+$D$6/(1+$B$27)^3+$E$6/(1+$B$27)^4+$F$6/(1+$B$27)^5)+(($F$6*(1+C$23)/($B$27-C$23))/(1+$B$27)^5)-Drivers!$C$36)/Drivers!$C$23</f>
        <v/>
      </c>
      <c r="D27" s="21">
        <f>(($B$6/(1+$B$27)^1+$C$6/(1+$B$27)^2+$D$6/(1+$B$27)^3+$E$6/(1+$B$27)^4+$F$6/(1+$B$27)^5)+(($F$6*(1+D$23)/($B$27-D$23))/(1+$B$27)^5)-Drivers!$C$36)/Drivers!$C$23</f>
        <v/>
      </c>
      <c r="E27" s="21">
        <f>(($B$6/(1+$B$27)^1+$C$6/(1+$B$27)^2+$D$6/(1+$B$27)^3+$E$6/(1+$B$27)^4+$F$6/(1+$B$27)^5)+(($F$6*(1+E$23)/($B$27-E$23))/(1+$B$27)^5)-Drivers!$C$36)/Drivers!$C$23</f>
        <v/>
      </c>
      <c r="F27" s="21">
        <f>(($B$6/(1+$B$27)^1+$C$6/(1+$B$27)^2+$D$6/(1+$B$27)^3+$E$6/(1+$B$27)^4+$F$6/(1+$B$27)^5)+(($F$6*(1+F$23)/($B$27-F$23))/(1+$B$27)^5)-Drivers!$C$36)/Drivers!$C$23</f>
        <v/>
      </c>
      <c r="G27" s="21">
        <f>(($B$6/(1+$B$27)^1+$C$6/(1+$B$27)^2+$D$6/(1+$B$27)^3+$E$6/(1+$B$27)^4+$F$6/(1+$B$27)^5)+(($F$6*(1+G$23)/($B$27-G$23))/(1+$B$27)^5)-Drivers!$C$36)/Drivers!$C$23</f>
        <v/>
      </c>
    </row>
    <row r="28">
      <c r="B28" s="22" t="n">
        <v>0.105</v>
      </c>
      <c r="C28" s="21">
        <f>(($B$6/(1+$B$28)^1+$C$6/(1+$B$28)^2+$D$6/(1+$B$28)^3+$E$6/(1+$B$28)^4+$F$6/(1+$B$28)^5)+(($F$6*(1+C$23)/($B$28-C$23))/(1+$B$28)^5)-Drivers!$C$36)/Drivers!$C$23</f>
        <v/>
      </c>
      <c r="D28" s="21">
        <f>(($B$6/(1+$B$28)^1+$C$6/(1+$B$28)^2+$D$6/(1+$B$28)^3+$E$6/(1+$B$28)^4+$F$6/(1+$B$28)^5)+(($F$6*(1+D$23)/($B$28-D$23))/(1+$B$28)^5)-Drivers!$C$36)/Drivers!$C$23</f>
        <v/>
      </c>
      <c r="E28" s="21">
        <f>(($B$6/(1+$B$28)^1+$C$6/(1+$B$28)^2+$D$6/(1+$B$28)^3+$E$6/(1+$B$28)^4+$F$6/(1+$B$28)^5)+(($F$6*(1+E$23)/($B$28-E$23))/(1+$B$28)^5)-Drivers!$C$36)/Drivers!$C$23</f>
        <v/>
      </c>
      <c r="F28" s="21">
        <f>(($B$6/(1+$B$28)^1+$C$6/(1+$B$28)^2+$D$6/(1+$B$28)^3+$E$6/(1+$B$28)^4+$F$6/(1+$B$28)^5)+(($F$6*(1+F$23)/($B$28-F$23))/(1+$B$28)^5)-Drivers!$C$36)/Drivers!$C$23</f>
        <v/>
      </c>
      <c r="G28" s="21">
        <f>(($B$6/(1+$B$28)^1+$C$6/(1+$B$28)^2+$D$6/(1+$B$28)^3+$E$6/(1+$B$28)^4+$F$6/(1+$B$28)^5)+(($F$6*(1+G$23)/($B$28-G$23))/(1+$B$28)^5)-Drivers!$C$36)/Drivers!$C$23</f>
        <v/>
      </c>
    </row>
    <row r="30">
      <c r="A30" s="3" t="inlineStr">
        <is>
          <t>Center cell (WACC 9.5% / g 3.5%) = base case; cross-check vs C18 implied per share.</t>
        </is>
      </c>
    </row>
  </sheetData>
  <mergeCells count="4">
    <mergeCell ref="A2:H2"/>
    <mergeCell ref="A30:H30"/>
    <mergeCell ref="A22:H2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MODEL NOTES, METHODOLOGY &amp; CAVEATS</t>
        </is>
      </c>
    </row>
    <row r="3">
      <c r="A3" s="18" t="inlineStr">
        <is>
          <t>Methodology</t>
        </is>
      </c>
    </row>
    <row r="4" ht="16" customHeight="1">
      <c r="A4" s="24" t="inlineStr">
        <is>
          <t>Integrated 3-statement model (Income Statement, Balance Sheet, Cash Flow) feeding an unlevered DCF.</t>
        </is>
      </c>
    </row>
    <row r="5" ht="16" customHeight="1">
      <c r="A5" s="24" t="inlineStr">
        <is>
          <t>Revenue built bottom-up by segment: AI Semiconductor, Non-AI Semiconductor, Infrastructure Software.</t>
        </is>
      </c>
    </row>
    <row r="6" ht="16" customHeight="1">
      <c r="A6" s="24" t="inlineStr">
        <is>
          <t>Every projection is a live formula off the Drivers tab — change an assumption and the model + DCF + sensitivity reflow.</t>
        </is>
      </c>
    </row>
    <row r="7" ht="16" customHeight="1">
      <c r="A7" s="24" t="inlineStr">
        <is>
          <t>DCF discounts unlevered FCF at a computed WACC; terminal value via Gordon growth. EV less net debt = equity value.</t>
        </is>
      </c>
    </row>
    <row r="9">
      <c r="A9" s="18" t="inlineStr">
        <is>
          <t>Base-case stance (IMPORTANT)</t>
        </is>
      </c>
    </row>
    <row r="10" ht="16" customHeight="1">
      <c r="A10" s="24" t="inlineStr">
        <is>
          <t>BASE case HAIRCUTS management's 'line of sight to $100B+ AI revenue in 2027' to ~$76B (-24%) for execution and</t>
        </is>
      </c>
    </row>
    <row r="11" ht="16" customHeight="1">
      <c r="A11" s="24" t="inlineStr">
        <is>
          <t>OpenAI-financing risk (The Information, May 2026: $18B first-phase funding gap; Microsoft-40% structure rejected).</t>
        </is>
      </c>
    </row>
    <row r="12" ht="16" customHeight="1">
      <c r="A12" s="24" t="inlineStr">
        <is>
          <t>Result: base-case intrinsic value lands well BELOW the ~$460 market price — i.e., the stock is pricing the BULL AI ramp.</t>
        </is>
      </c>
    </row>
    <row r="13" ht="16" customHeight="1">
      <c r="A13" s="24" t="inlineStr">
        <is>
          <t>This is the central valuation finding. See the bull/base/bear framing in the deck; sensitivity table shows the WACC/g swing.</t>
        </is>
      </c>
    </row>
    <row r="15">
      <c r="A15" s="18" t="inlineStr">
        <is>
          <t>Data sources</t>
        </is>
      </c>
    </row>
    <row r="16" ht="16" customHeight="1">
      <c r="A16" s="24" t="inlineStr">
        <is>
          <t>AVGO reported figures: Q1 FY2026 8-K/IR (Mar 2026), FY2023-FY2025 10-K/8-K filings, SEC EDGAR.</t>
        </is>
      </c>
    </row>
    <row r="17" ht="16" customHeight="1">
      <c r="A17" s="24" t="inlineStr">
        <is>
          <t>Market data (price, shares, debt, cash): StockAnalysis.com / company filings, ~June 1, 2026.</t>
        </is>
      </c>
    </row>
    <row r="18" ht="16" customHeight="1">
      <c r="A18" s="24" t="inlineStr">
        <is>
          <t>MCP terminal connectors (CapIQ/FactSet/Daloopa) were NOT configured in this environment; public sources used.</t>
        </is>
      </c>
    </row>
    <row r="19" ht="16" customHeight="1">
      <c r="A19" s="24" t="inlineStr">
        <is>
          <t>Segment splits between AI and non-AI semiconductors are partly [E] estimates (AVGO reports a single Semiconductor segment).</t>
        </is>
      </c>
    </row>
    <row r="21">
      <c r="A21" s="18" t="inlineStr">
        <is>
          <t>Key assumptions</t>
        </is>
      </c>
    </row>
    <row r="22" ht="16" customHeight="1">
      <c r="A22" s="24" t="inlineStr">
        <is>
          <t>WACC ~9.5% computed from: risk-free 4.3%, ERP 5.0%, beta 1.10 (cost of equity ~9.8%), after-tax Kd ~4.3%, ~97% equity weight.</t>
        </is>
      </c>
    </row>
    <row r="23" ht="16" customHeight="1">
      <c r="A23" s="24" t="inlineStr">
        <is>
          <t>Terminal growth 3.5%. Capex ~2.5% of revenue (fabless). Cash tax rate ~14-15% (AVGO's historically low effective rate).</t>
        </is>
      </c>
    </row>
    <row r="24" ht="16" customHeight="1">
      <c r="A24" s="24" t="inlineStr">
        <is>
          <t>GAAP operating margin rises 44%-&gt;51% as VMware acquired-intangible amortization rolls off; D&amp;A falls 12%-&gt;6% of revenue.</t>
        </is>
      </c>
    </row>
    <row r="25" ht="16" customHeight="1">
      <c r="A25" s="24" t="inlineStr">
        <is>
          <t>Note: AVGO's NON-GAAP operating margin is ~66% and adj. EBITDA margin ~68% — far above GAAP; the GAAP basis here is conservative.</t>
        </is>
      </c>
    </row>
    <row r="27">
      <c r="A27" s="18" t="inlineStr">
        <is>
          <t>Caveats</t>
        </is>
      </c>
    </row>
    <row r="28" ht="16" customHeight="1">
      <c r="A28" s="24" t="inlineStr">
        <is>
          <t>1. Terminal value is ~75-80% of enterprise value — the valuation is highly sensitive to WACC and terminal growth (see 5x5 table).</t>
        </is>
      </c>
    </row>
    <row r="29" ht="16" customHeight="1">
      <c r="A29" s="24" t="inlineStr">
        <is>
          <t>2. Customer concentration: AI revenue leans on a few hyperscalers (Google, Meta, ByteDance, OpenAI, Anthropic, Apple). A program pause is a material risk.</t>
        </is>
      </c>
    </row>
    <row r="30" ht="16" customHeight="1">
      <c r="A30" s="24" t="inlineStr">
        <is>
          <t>3. Segment AI/non-AI split is estimated; for a binding decision, reconcile to AVGO's exact disclosures.</t>
        </is>
      </c>
    </row>
    <row r="31" ht="16" customHeight="1">
      <c r="A31" s="24" t="inlineStr">
        <is>
          <t>4. Research / decision-framing only — NOT investment advice. Cross-check against a primary terminal before acting.</t>
        </is>
      </c>
    </row>
  </sheetData>
  <mergeCells count="26">
    <mergeCell ref="A30:E30"/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5:E5"/>
    <mergeCell ref="A23:E23"/>
    <mergeCell ref="A22:E22"/>
    <mergeCell ref="A17:E17"/>
    <mergeCell ref="A29:E29"/>
    <mergeCell ref="A4:E4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2026-06-04T06:05:31Z</dcterms:created>
  <dcterms:modified xmlns:dcterms="http://purl.org/dc/terms/" xmlns:xsi="http://www.w3.org/2001/XMLSchema-instance" xsi:type="dcterms:W3CDTF">2026-06-04T06:05:31Z</dcterms:modified>
</cp:coreProperties>
</file>
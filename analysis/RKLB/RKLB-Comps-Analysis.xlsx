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Valuation" sheetId="2" state="visible" r:id="rId2"/>
    <sheet xmlns:r="http://schemas.openxmlformats.org/officeDocument/2006/relationships" name="Capacity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6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b val="1"/>
      <sz val="12"/>
    </font>
    <font>
      <name val="Times New Roman"/>
      <i val="1"/>
      <color rgb="00595959"/>
      <sz val="10"/>
    </font>
    <font>
      <name val="Times New Roman"/>
      <color rgb="00000000"/>
      <sz val="11"/>
    </font>
    <font>
      <name val="Times New Roman"/>
      <color rgb="000000FF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pivotButton="0" quotePrefix="0" xfId="0"/>
    <xf numFmtId="3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3" fillId="0" borderId="0" pivotButton="0" quotePrefix="0" xfId="0"/>
    <xf numFmtId="3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RKLB comps</author>
  </authors>
  <commentList>
    <comment ref="C7" authorId="0" shapeId="0">
      <text>
        <t>RKLB ~$123.32/sh x ~608M sh = ~$75.0B (June 2, 2026)</t>
      </text>
    </comment>
    <comment ref="D7" authorId="0" shapeId="0">
      <text>
        <t>Net cash $1.44B: cash+sec $1.48B - debt $38M</t>
      </text>
    </comment>
    <comment ref="E7" authorId="0" shapeId="0">
      <text>
        <t>[E] TTM revenue ~$679M (FY25 $602M + Q1 26 $200M - Q1 25 $123M)</t>
      </text>
    </comment>
    <comment ref="F7" authorId="0" shapeId="0">
      <text>
        <t>Q1 CY26 revenue +63.5% YoY (Rocket Lab IR, May 7, 2026)</t>
      </text>
    </comment>
    <comment ref="G7" authorId="0" shapeId="0">
      <text>
        <t>Q1 26 GAAP gross margin 38.2%</t>
      </text>
    </comment>
    <comment ref="H7" authorId="0" shapeId="0">
      <text>
        <t>[E] TTM adj EBITDA ~-$50M (Q1 26 adj EBITDA -$11.8M; narrowing losses)</t>
      </text>
    </comment>
    <comment ref="I7" authorId="0" shapeId="0">
      <text>
        <t>[E] TTM net loss ~$220M (FY25 NI -$198M + Q1 26 -$45M - Q1 25 ~-$25M)</t>
      </text>
    </comment>
    <comment ref="C8" authorId="0" shapeId="0">
      <text>
        <t>ASTS ~$110.47/sh x ~320M sh = ~$35.3B (June 3, 2026)</t>
      </text>
    </comment>
    <comment ref="D8" authorId="0" shapeId="0">
      <text>
        <t>Net cash ~$500M: $3.5B liquidity - debt $2.97B (mostly converts)</t>
      </text>
    </comment>
    <comment ref="E8" authorId="0" shapeId="0">
      <text>
        <t>TTM revenue ~$85M (FY25 $70.9M + Q1 26 $14.7M)</t>
      </text>
    </comment>
    <comment ref="F8" authorId="0" shapeId="0">
      <text>
        <t>Q1 26 revenue +2000%+ YoY (off ~$0.7M base; reaffirmed FY26 guide $150-200M)</t>
      </text>
    </comment>
    <comment ref="G8" authorId="0" shapeId="0">
      <text>
        <t>[E] Gross margin ~69% on FY25 (milestone-driven)</t>
      </text>
    </comment>
    <comment ref="H8" authorId="0" shapeId="0">
      <text>
        <t>[E] Adj EBITDA loss ~$200M (R&amp;D + satellite buildout)</t>
      </text>
    </comment>
    <comment ref="I8" authorId="0" shapeId="0">
      <text>
        <t>[E] TTM net loss ~$600M (Q1 26 alone -$191M)</t>
      </text>
    </comment>
    <comment ref="C9" authorId="0" shapeId="0">
      <text>
        <t>PL ~$43/sh x ~358M sh = ~$15.4B (June 3, 2026)</t>
      </text>
    </comment>
    <comment ref="D9" authorId="0" shapeId="0">
      <text>
        <t>Net cash $178M: cash+sec $640M - debt $462M</t>
      </text>
    </comment>
    <comment ref="E9" authorId="0" shapeId="0">
      <text>
        <t>TTM revenue $307.7M (+26% YoY; FY26 ended Jan 2026)</t>
      </text>
    </comment>
    <comment ref="F9" authorId="0" shapeId="0">
      <text>
        <t>Q4 FY26 revenue +41% YoY (subscription growth + large gov't deals)</t>
      </text>
    </comment>
    <comment ref="G9" authorId="0" shapeId="0">
      <text>
        <t>FY26 GAAP gross margin 56% (non-GAAP 59%)</t>
      </text>
    </comment>
    <comment ref="H9" authorId="0" shapeId="0">
      <text>
        <t>FY26 adj EBITDA $15.5M (first profitable adj EBITDA year)</t>
      </text>
    </comment>
    <comment ref="I9" authorId="0" shapeId="0">
      <text>
        <t>TTM NI -$247M (includes $161M warrant revaluation loss)</t>
      </text>
    </comment>
    <comment ref="C10" authorId="0" shapeId="0">
      <text>
        <t>IRDM ~$45/sh x ~117M sh = ~$5.25B (range $5.0-5.5B)</t>
      </text>
    </comment>
    <comment ref="D10" authorId="0" shapeId="0">
      <text>
        <t>Net debt $1.7B: debt $1.8B - cash $112M</t>
      </text>
    </comment>
    <comment ref="E10" authorId="0" shapeId="0">
      <text>
        <t>TTM revenue ~$887M (FY25 $871.7M + Q1 26 step-up)</t>
      </text>
    </comment>
    <comment ref="F10" authorId="0" shapeId="0">
      <text>
        <t>Q1 CY26 service revenue +2% YoY (mature satcom)</t>
      </text>
    </comment>
    <comment ref="G10" authorId="0" shapeId="0">
      <text>
        <t>[E] Service gross margin ~74%</t>
      </text>
    </comment>
    <comment ref="H10" authorId="0" shapeId="0">
      <text>
        <t>TTM operational EBITDA ~$474M (~54% margin); FY26 guide $480-490M</t>
      </text>
    </comment>
    <comment ref="I10" authorId="0" shapeId="0">
      <text>
        <t>[E] TTM NI ~$105M</t>
      </text>
    </comment>
    <comment ref="C11" authorId="0" shapeId="0">
      <text>
        <t>RDW ~$18.44/sh x ~221M sh = ~$4.07B</t>
      </text>
    </comment>
    <comment ref="D11" authorId="0" shapeId="0">
      <text>
        <t>Net cash $55M: cash $145M - debt ~$90M</t>
      </text>
    </comment>
    <comment ref="E11" authorId="0" shapeId="0">
      <text>
        <t>[E] TTM revenue ~$432M (post-Edge Autonomy contribution)</t>
      </text>
    </comment>
    <comment ref="F11" authorId="0" shapeId="0">
      <text>
        <t>Q1 26 revenue +57.9% YoY</t>
      </text>
    </comment>
    <comment ref="G11" authorId="0" shapeId="0">
      <text>
        <t>Q1 26 gross margin 26.6% (up from 14.7% YoY)</t>
      </text>
    </comment>
    <comment ref="H11" authorId="0" shapeId="0">
      <text>
        <t>[E] TTM adj EBITDA loss ~-$40M (FY25 -$50.3M)</t>
      </text>
    </comment>
    <comment ref="I11" authorId="0" shapeId="0">
      <text>
        <t>[E] TTM net loss ~-$227M (FY25 -$226.6M)</t>
      </text>
    </comment>
    <comment ref="C12" authorId="0" shapeId="0">
      <text>
        <t>LMT ~$510/sh x ~237M sh = ~$121B</t>
      </text>
    </comment>
    <comment ref="D12" authorId="0" shapeId="0">
      <text>
        <t>Net debt $18.8B (debt $20.7B - cash $1.89B)</t>
      </text>
    </comment>
    <comment ref="E12" authorId="0" shapeId="0">
      <text>
        <t>TTM revenue ~$75.1B</t>
      </text>
    </comment>
    <comment ref="F12" authorId="0" shapeId="0">
      <text>
        <t>Q1 26 revenue ~flat YoY</t>
      </text>
    </comment>
    <comment ref="G12" authorId="0" shapeId="0">
      <text>
        <t>[E] Op margin ~11% (consolidated); Space segment ~10%</t>
      </text>
    </comment>
    <comment ref="H12" authorId="0" shapeId="0">
      <text>
        <t>[E] TTM EBITDA ~$10B</t>
      </text>
    </comment>
    <comment ref="I12" authorId="0" shapeId="0">
      <text>
        <t>[E] TTM NI ~$5.5B</t>
      </text>
    </comment>
    <comment ref="C13" authorId="0" shapeId="0">
      <text>
        <t>SpaceX IPO target ~$1.75-2T (April 2026 confidential S-1; Bloomberg May)</t>
      </text>
    </comment>
    <comment ref="D13" authorId="0" shapeId="0">
      <text>
        <t>[E] SpaceX balance sheet not disclosed; assume net cash neutral</t>
      </text>
    </comment>
    <comment ref="E13" authorId="0" shapeId="0">
      <text>
        <t>FY25 revenue $18.674B (per S-1; +43% YoY); 2026E ~$22-24B [E]</t>
      </text>
    </comment>
    <comment ref="F13" authorId="0" shapeId="0">
      <text>
        <t>FY25 revenue +43% YoY ($18.7B vs $13.1B); Starlink $11.4B (61% of total)</t>
      </text>
    </comment>
    <comment ref="G13" authorId="0" shapeId="0">
      <text>
        <t>[E] Gross margin ~40% (Starlink scaling)</t>
      </text>
    </comment>
    <comment ref="H13" authorId="0" shapeId="0">
      <text>
        <t>FY25 adj EBITDA $6.584B (~35% margin)</t>
      </text>
    </comment>
    <comment ref="I13" authorId="0" shapeId="0">
      <text>
        <t>FY25 operating loss -$2.589B (per S-1)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3" customWidth="1" min="3" max="3"/>
    <col width="11" customWidth="1" min="4" max="4"/>
    <col width="14" customWidth="1" min="5" max="5"/>
    <col width="13" customWidth="1" min="6" max="6"/>
    <col width="14" customWidth="1" min="7" max="7"/>
    <col width="14" customWidth="1" min="8" max="8"/>
    <col width="16" customWidth="1" min="9" max="9"/>
    <col width="18" customWidth="1" min="10" max="10"/>
    <col width="22" customWidth="1" min="11" max="11"/>
  </cols>
  <sheetData>
    <row r="1">
      <c r="A1" s="1" t="inlineStr">
        <is>
          <t>SPACE / SAT-COMMS — COMPARABLE COMPANY ANALYSIS (RKLB target)</t>
        </is>
      </c>
    </row>
    <row r="2">
      <c r="A2" s="2" t="inlineStr">
        <is>
          <t>Rocket Lab USA (RKLB) • AST SpaceMobile (ASTS) • Planet Labs (PL) • Iridium (IRDM) • Redwire (RDW) • Lockheed Martin (LMT) • SpaceX (private) (—)</t>
        </is>
      </c>
    </row>
    <row r="3">
      <c r="A3" s="3" t="inlineStr">
        <is>
          <t>As of June 3, 2026 | $M except ratios | Pre-profit cohort: EV/Revenue is the cleaner gauge | LMT = old-space anchor; SpaceX = private benchmark (memo)</t>
        </is>
      </c>
    </row>
    <row r="5">
      <c r="A5" s="1" t="inlineStr">
        <is>
          <t>RAW INPUTS — cell comments cite source / assumption</t>
        </is>
      </c>
    </row>
    <row r="6">
      <c r="A6" s="4" t="inlineStr">
        <is>
          <t>Company</t>
        </is>
      </c>
      <c r="B6" s="4" t="inlineStr">
        <is>
          <t>Ticker</t>
        </is>
      </c>
      <c r="C6" s="4" t="inlineStr">
        <is>
          <t>Mkt Cap</t>
        </is>
      </c>
      <c r="D6" s="4" t="inlineStr">
        <is>
          <t>Net Debt</t>
        </is>
      </c>
      <c r="E6" s="4" t="inlineStr">
        <is>
          <t>Revenue (TTM)</t>
        </is>
      </c>
      <c r="F6" s="4" t="inlineStr">
        <is>
          <t>Rev Growth %</t>
        </is>
      </c>
      <c r="G6" s="4" t="inlineStr">
        <is>
          <t>Gross Margin %</t>
        </is>
      </c>
      <c r="H6" s="4" t="inlineStr">
        <is>
          <t>EBITDA (TTM)</t>
        </is>
      </c>
      <c r="I6" s="4" t="inlineStr">
        <is>
          <t>Net Income (TTM)</t>
        </is>
      </c>
      <c r="J6" s="4" t="inlineStr">
        <is>
          <t>Role</t>
        </is>
      </c>
      <c r="K6" s="4" t="inlineStr">
        <is>
          <t>Notes</t>
        </is>
      </c>
    </row>
    <row r="7">
      <c r="A7" s="5" t="inlineStr">
        <is>
          <t>Rocket Lab USA</t>
        </is>
      </c>
      <c r="B7" s="6" t="inlineStr">
        <is>
          <t>RKLB</t>
        </is>
      </c>
      <c r="C7" s="7" t="n">
        <v>74974</v>
      </c>
      <c r="D7" s="7" t="n">
        <v>-1442</v>
      </c>
      <c r="E7" s="7" t="n">
        <v>679</v>
      </c>
      <c r="F7" s="8" t="n">
        <v>0.635</v>
      </c>
      <c r="G7" s="8" t="n">
        <v>0.382</v>
      </c>
      <c r="H7" s="7" t="n">
        <v>-50</v>
      </c>
      <c r="I7" s="7" t="n">
        <v>-220</v>
      </c>
      <c r="J7" s="9" t="inlineStr">
        <is>
          <t>TARGET</t>
        </is>
      </c>
    </row>
    <row r="8">
      <c r="A8" s="5" t="inlineStr">
        <is>
          <t>AST SpaceMobile</t>
        </is>
      </c>
      <c r="B8" s="6" t="inlineStr">
        <is>
          <t>ASTS</t>
        </is>
      </c>
      <c r="C8" s="7" t="n">
        <v>35330</v>
      </c>
      <c r="D8" s="7" t="n">
        <v>-500</v>
      </c>
      <c r="E8" s="7" t="n">
        <v>85</v>
      </c>
      <c r="F8" s="8" t="n">
        <v>20</v>
      </c>
      <c r="G8" s="8" t="n">
        <v>0.6899999999999999</v>
      </c>
      <c r="H8" s="7" t="n">
        <v>-200</v>
      </c>
      <c r="I8" s="7" t="n">
        <v>-600</v>
      </c>
      <c r="J8" s="9" t="inlineStr">
        <is>
          <t>PUBLIC PEER</t>
        </is>
      </c>
    </row>
    <row r="9">
      <c r="A9" s="5" t="inlineStr">
        <is>
          <t>Planet Labs</t>
        </is>
      </c>
      <c r="B9" s="6" t="inlineStr">
        <is>
          <t>PL</t>
        </is>
      </c>
      <c r="C9" s="7" t="n">
        <v>15400</v>
      </c>
      <c r="D9" s="7" t="n">
        <v>-178</v>
      </c>
      <c r="E9" s="7" t="n">
        <v>308</v>
      </c>
      <c r="F9" s="8" t="n">
        <v>0.41</v>
      </c>
      <c r="G9" s="8" t="n">
        <v>0.5600000000000001</v>
      </c>
      <c r="H9" s="7" t="n">
        <v>15.5</v>
      </c>
      <c r="I9" s="7" t="n">
        <v>-247</v>
      </c>
      <c r="J9" s="9" t="inlineStr">
        <is>
          <t>PUBLIC PEER</t>
        </is>
      </c>
    </row>
    <row r="10">
      <c r="A10" s="5" t="inlineStr">
        <is>
          <t>Iridium</t>
        </is>
      </c>
      <c r="B10" s="6" t="inlineStr">
        <is>
          <t>IRDM</t>
        </is>
      </c>
      <c r="C10" s="7" t="n">
        <v>5250</v>
      </c>
      <c r="D10" s="7" t="n">
        <v>1700</v>
      </c>
      <c r="E10" s="7" t="n">
        <v>887</v>
      </c>
      <c r="F10" s="8" t="n">
        <v>0.02</v>
      </c>
      <c r="G10" s="8" t="n">
        <v>0.74</v>
      </c>
      <c r="H10" s="7" t="n">
        <v>474</v>
      </c>
      <c r="I10" s="7" t="n">
        <v>105</v>
      </c>
      <c r="J10" s="9" t="inlineStr">
        <is>
          <t>PUBLIC PEER</t>
        </is>
      </c>
    </row>
    <row r="11">
      <c r="A11" s="5" t="inlineStr">
        <is>
          <t>Redwire</t>
        </is>
      </c>
      <c r="B11" s="6" t="inlineStr">
        <is>
          <t>RDW</t>
        </is>
      </c>
      <c r="C11" s="7" t="n">
        <v>4070</v>
      </c>
      <c r="D11" s="7" t="n">
        <v>-55</v>
      </c>
      <c r="E11" s="7" t="n">
        <v>432</v>
      </c>
      <c r="F11" s="8" t="n">
        <v>0.579</v>
      </c>
      <c r="G11" s="8" t="n">
        <v>0.266</v>
      </c>
      <c r="H11" s="7" t="n">
        <v>-40</v>
      </c>
      <c r="I11" s="7" t="n">
        <v>-227</v>
      </c>
      <c r="J11" s="9" t="inlineStr">
        <is>
          <t>PUBLIC PEER</t>
        </is>
      </c>
    </row>
    <row r="12">
      <c r="A12" s="5" t="inlineStr">
        <is>
          <t>Lockheed Martin</t>
        </is>
      </c>
      <c r="B12" s="6" t="inlineStr">
        <is>
          <t>LMT</t>
        </is>
      </c>
      <c r="C12" s="7" t="n">
        <v>121000</v>
      </c>
      <c r="D12" s="7" t="n">
        <v>18800</v>
      </c>
      <c r="E12" s="7" t="n">
        <v>75100</v>
      </c>
      <c r="F12" s="8" t="n">
        <v>0</v>
      </c>
      <c r="G12" s="8" t="n">
        <v>0.11</v>
      </c>
      <c r="H12" s="7" t="n">
        <v>10000</v>
      </c>
      <c r="I12" s="7" t="n">
        <v>5500</v>
      </c>
      <c r="J12" s="9" t="inlineStr">
        <is>
          <t>OLD-SPACE ANCHOR</t>
        </is>
      </c>
    </row>
    <row r="13">
      <c r="A13" s="5" t="inlineStr">
        <is>
          <t>SpaceX (private)</t>
        </is>
      </c>
      <c r="B13" s="6" t="inlineStr">
        <is>
          <t>—</t>
        </is>
      </c>
      <c r="C13" s="7" t="n">
        <v>1750000</v>
      </c>
      <c r="D13" s="7" t="n">
        <v>0</v>
      </c>
      <c r="E13" s="7" t="n">
        <v>18674</v>
      </c>
      <c r="F13" s="8" t="n">
        <v>0.43</v>
      </c>
      <c r="G13" s="8" t="n">
        <v>0.4</v>
      </c>
      <c r="H13" s="7" t="n">
        <v>6584</v>
      </c>
      <c r="I13" s="7" t="n">
        <v>-2589</v>
      </c>
      <c r="J13" s="9" t="inlineStr">
        <is>
          <t>PRIVATE (memo)</t>
        </is>
      </c>
    </row>
  </sheetData>
  <mergeCells count="4">
    <mergeCell ref="A2:K2"/>
    <mergeCell ref="A1:K1"/>
    <mergeCell ref="A5:K5"/>
    <mergeCell ref="A3:K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2" customWidth="1" min="4" max="4"/>
    <col width="14" customWidth="1" min="5" max="5"/>
    <col width="12" customWidth="1" min="6" max="6"/>
    <col width="64" customWidth="1" min="7" max="7"/>
  </cols>
  <sheetData>
    <row r="1">
      <c r="A1" s="1" t="inlineStr">
        <is>
          <t>VALUATION — EV/REVENUE THE CLEANER GAUGE FOR THIS COHORT</t>
        </is>
      </c>
    </row>
    <row r="2">
      <c r="A2" s="3" t="inlineStr">
        <is>
          <t>EV = Mkt Cap + Net Debt (negative net debt = net cash). EV/EBITDA shown but mostly NM (negative or NM).</t>
        </is>
      </c>
    </row>
    <row r="6">
      <c r="A6" s="4" t="inlineStr">
        <is>
          <t>Company</t>
        </is>
      </c>
      <c r="B6" s="4" t="inlineStr">
        <is>
          <t>Mkt Cap</t>
        </is>
      </c>
      <c r="C6" s="4" t="inlineStr">
        <is>
          <t>EV</t>
        </is>
      </c>
      <c r="D6" s="4" t="inlineStr">
        <is>
          <t>EV / Rev</t>
        </is>
      </c>
      <c r="E6" s="4" t="inlineStr">
        <is>
          <t>EV / EBITDA</t>
        </is>
      </c>
      <c r="F6" s="4" t="inlineStr">
        <is>
          <t>P/E (TTM)</t>
        </is>
      </c>
      <c r="G6" s="4" t="inlineStr">
        <is>
          <t>Comment</t>
        </is>
      </c>
    </row>
    <row r="7">
      <c r="A7" s="5" t="inlineStr">
        <is>
          <t>Rocket Lab USA</t>
        </is>
      </c>
      <c r="B7" s="10">
        <f>Inputs!C7</f>
        <v/>
      </c>
      <c r="C7" s="10">
        <f>Inputs!C7+Inputs!D7</f>
        <v/>
      </c>
      <c r="D7" s="11">
        <f>(Inputs!C7+Inputs!D7)/Inputs!E7</f>
        <v/>
      </c>
      <c r="E7" s="11">
        <f>IF(Inputs!H7&gt;0,(Inputs!C7+Inputs!D7)/Inputs!H7,"NM")</f>
        <v/>
      </c>
      <c r="F7" s="11">
        <f>IF(Inputs!I7&gt;0,Inputs!C7/Inputs!I7,"NM")</f>
        <v/>
      </c>
      <c r="G7" s="12" t="inlineStr">
        <is>
          <t>Target. ~110x EV/Rev — top of public cohort ex-ASTS. Bifurcated story; pre-profit but scaling fast.</t>
        </is>
      </c>
    </row>
    <row r="8">
      <c r="A8" s="5" t="inlineStr">
        <is>
          <t>AST SpaceMobile</t>
        </is>
      </c>
      <c r="B8" s="10">
        <f>Inputs!C8</f>
        <v/>
      </c>
      <c r="C8" s="10">
        <f>Inputs!C8+Inputs!D8</f>
        <v/>
      </c>
      <c r="D8" s="11">
        <f>(Inputs!C8+Inputs!D8)/Inputs!E8</f>
        <v/>
      </c>
      <c r="E8" s="11">
        <f>IF(Inputs!H8&gt;0,(Inputs!C8+Inputs!D8)/Inputs!H8,"NM")</f>
        <v/>
      </c>
      <c r="F8" s="11">
        <f>IF(Inputs!I8&gt;0,Inputs!C8/Inputs!I8,"NM")</f>
        <v/>
      </c>
      <c r="G8" s="12" t="inlineStr">
        <is>
          <t>~410x EV/Rev — pure pre-revenue story-stock; not useful as a multiple anchor.</t>
        </is>
      </c>
    </row>
    <row r="9">
      <c r="A9" s="5" t="inlineStr">
        <is>
          <t>Planet Labs</t>
        </is>
      </c>
      <c r="B9" s="10">
        <f>Inputs!C9</f>
        <v/>
      </c>
      <c r="C9" s="10">
        <f>Inputs!C9+Inputs!D9</f>
        <v/>
      </c>
      <c r="D9" s="11">
        <f>(Inputs!C9+Inputs!D9)/Inputs!E9</f>
        <v/>
      </c>
      <c r="E9" s="11">
        <f>IF(Inputs!H9&gt;0,(Inputs!C9+Inputs!D9)/Inputs!H9,"NM")</f>
        <v/>
      </c>
      <c r="F9" s="11">
        <f>IF(Inputs!I9&gt;0,Inputs!C9/Inputs!I9,"NM")</f>
        <v/>
      </c>
      <c r="G9" s="12" t="inlineStr">
        <is>
          <t>~49x EV/Rev — subscription Earth-obs; NDR 116%; first adj EBITDA+ year.</t>
        </is>
      </c>
    </row>
    <row r="10">
      <c r="A10" s="5" t="inlineStr">
        <is>
          <t>Iridium</t>
        </is>
      </c>
      <c r="B10" s="10">
        <f>Inputs!C10</f>
        <v/>
      </c>
      <c r="C10" s="10">
        <f>Inputs!C10+Inputs!D10</f>
        <v/>
      </c>
      <c r="D10" s="11">
        <f>(Inputs!C10+Inputs!D10)/Inputs!E10</f>
        <v/>
      </c>
      <c r="E10" s="11">
        <f>IF(Inputs!H10&gt;0,(Inputs!C10+Inputs!D10)/Inputs!H10,"NM")</f>
        <v/>
      </c>
      <c r="F10" s="11">
        <f>IF(Inputs!I10&gt;0,Inputs!C10/Inputs!I10,"NM")</f>
        <v/>
      </c>
      <c r="G10" s="12" t="inlineStr">
        <is>
          <t>~7-8x EV/Rev — the FCF/maturity-state anchor; profitable; cash returns.</t>
        </is>
      </c>
    </row>
    <row r="11">
      <c r="A11" s="5" t="inlineStr">
        <is>
          <t>Redwire</t>
        </is>
      </c>
      <c r="B11" s="10">
        <f>Inputs!C11</f>
        <v/>
      </c>
      <c r="C11" s="10">
        <f>Inputs!C11+Inputs!D11</f>
        <v/>
      </c>
      <c r="D11" s="11">
        <f>(Inputs!C11+Inputs!D11)/Inputs!E11</f>
        <v/>
      </c>
      <c r="E11" s="11">
        <f>IF(Inputs!H11&gt;0,(Inputs!C11+Inputs!D11)/Inputs!H11,"NM")</f>
        <v/>
      </c>
      <c r="F11" s="11">
        <f>IF(Inputs!I11&gt;0,Inputs!C11/Inputs!I11,"NM")</f>
        <v/>
      </c>
      <c r="G11" s="12" t="inlineStr">
        <is>
          <t>~9x EV/Rev — closest space-infra growth comp; pre-profit; Edge Autonomy reshape.</t>
        </is>
      </c>
    </row>
    <row r="12">
      <c r="A12" s="5" t="inlineStr">
        <is>
          <t>Lockheed Martin</t>
        </is>
      </c>
      <c r="B12" s="10">
        <f>Inputs!C12</f>
        <v/>
      </c>
      <c r="C12" s="10">
        <f>Inputs!C12+Inputs!D12</f>
        <v/>
      </c>
      <c r="D12" s="11">
        <f>(Inputs!C12+Inputs!D12)/Inputs!E12</f>
        <v/>
      </c>
      <c r="E12" s="11">
        <f>IF(Inputs!H12&gt;0,(Inputs!C12+Inputs!D12)/Inputs!H12,"NM")</f>
        <v/>
      </c>
      <c r="F12" s="11">
        <f>IF(Inputs!I12&gt;0,Inputs!C12/Inputs!I12,"NM")</f>
        <v/>
      </c>
      <c r="G12" s="12" t="inlineStr">
        <is>
          <t>~1.85x EV/Rev — old-space anchor; mature defense multiple; Space segment ~$13B/yr at ~10% margin.</t>
        </is>
      </c>
    </row>
    <row r="13">
      <c r="A13" s="5" t="inlineStr">
        <is>
          <t>SpaceX (private)</t>
        </is>
      </c>
      <c r="B13" s="10">
        <f>Inputs!C13</f>
        <v/>
      </c>
      <c r="C13" s="10">
        <f>Inputs!C13+Inputs!D13</f>
        <v/>
      </c>
      <c r="D13" s="11">
        <f>(Inputs!C13+Inputs!D13)/Inputs!E13</f>
        <v/>
      </c>
      <c r="E13" s="11">
        <f>IF(Inputs!H13&gt;0,(Inputs!C13+Inputs!D13)/Inputs!H13,"NM")</f>
        <v/>
      </c>
      <c r="F13" s="11">
        <f>IF(Inputs!I13&gt;0,Inputs!C13/Inputs!I13,"NM")</f>
        <v/>
      </c>
      <c r="G13" s="12" t="inlineStr">
        <is>
          <t>~95x EV/Rev at $1.75T IPO target (~$18.7B FY25 rev). Private mark. Set the upper bound of public valuation.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8" customWidth="1" min="4" max="4"/>
  </cols>
  <sheetData>
    <row r="1">
      <c r="A1" s="1" t="inlineStr">
        <is>
          <t>OPERATING CAPACITY — Launches/yr · Backlog · Pure-play status</t>
        </is>
      </c>
    </row>
    <row r="3">
      <c r="A3" s="13" t="inlineStr">
        <is>
          <t>Company</t>
        </is>
      </c>
      <c r="B3" s="13" t="inlineStr">
        <is>
          <t>Launches / yr</t>
        </is>
      </c>
      <c r="C3" s="13" t="inlineStr">
        <is>
          <t>Backlog ($)</t>
        </is>
      </c>
      <c r="D3" s="13" t="inlineStr">
        <is>
          <t>Pure-play</t>
        </is>
      </c>
    </row>
    <row r="4">
      <c r="A4" s="5" t="inlineStr">
        <is>
          <t>Rocket Lab</t>
        </is>
      </c>
      <c r="B4" t="inlineStr">
        <is>
          <t>21 (FY25)→ Neutron Q4 26</t>
        </is>
      </c>
      <c r="C4" t="inlineStr">
        <is>
          <t>$2.22B (+108% YoY)</t>
        </is>
      </c>
      <c r="D4" t="inlineStr">
        <is>
          <t>Yes — bifurcated</t>
        </is>
      </c>
    </row>
    <row r="5">
      <c r="A5" s="5" t="inlineStr">
        <is>
          <t>AST SpaceMobile</t>
        </is>
      </c>
      <c r="B5" t="inlineStr">
        <is>
          <t>Sat ops (45 BlueBird YE26)</t>
        </is>
      </c>
      <c r="C5" t="inlineStr">
        <is>
          <t>$1.2B+ commercial pipeline</t>
        </is>
      </c>
      <c r="D5" t="inlineStr">
        <is>
          <t>Yes — direct-to-cell</t>
        </is>
      </c>
    </row>
    <row r="6">
      <c r="A6" s="5" t="inlineStr">
        <is>
          <t>Planet Labs</t>
        </is>
      </c>
      <c r="B6" t="inlineStr">
        <is>
          <t>Subscription (no launches)</t>
        </is>
      </c>
      <c r="C6" t="inlineStr">
        <is>
          <t>$900M+ (+79% YoY)</t>
        </is>
      </c>
      <c r="D6" t="inlineStr">
        <is>
          <t>Yes — EO subscription</t>
        </is>
      </c>
    </row>
    <row r="7">
      <c r="A7" s="5" t="inlineStr">
        <is>
          <t>Iridium</t>
        </is>
      </c>
      <c r="B7" t="inlineStr">
        <is>
          <t>Sat ops only</t>
        </is>
      </c>
      <c r="C7" t="inlineStr">
        <is>
          <t>n/a (subscription)</t>
        </is>
      </c>
      <c r="D7" t="inlineStr">
        <is>
          <t>Yes — satcom</t>
        </is>
      </c>
    </row>
    <row r="8">
      <c r="A8" s="5" t="inlineStr">
        <is>
          <t>Redwire</t>
        </is>
      </c>
      <c r="B8" t="inlineStr">
        <is>
          <t>Component supplier</t>
        </is>
      </c>
      <c r="C8" t="inlineStr">
        <is>
          <t>$498M (+71% YoY)</t>
        </is>
      </c>
      <c r="D8" t="inlineStr">
        <is>
          <t>Yes — space infra</t>
        </is>
      </c>
    </row>
    <row r="9">
      <c r="A9" s="5" t="inlineStr">
        <is>
          <t>Lockheed Martin</t>
        </is>
      </c>
      <c r="B9" t="inlineStr">
        <is>
          <t>10+ heavy launches (Atlas/Vulcan-adj)</t>
        </is>
      </c>
      <c r="C9" t="inlineStr">
        <is>
          <t>$186.4B company-wide</t>
        </is>
      </c>
      <c r="D9" t="inlineStr">
        <is>
          <t>No — Space is 17% of revenue</t>
        </is>
      </c>
    </row>
    <row r="10">
      <c r="A10" s="5" t="inlineStr">
        <is>
          <t>SpaceX</t>
        </is>
      </c>
      <c r="B10" t="inlineStr">
        <is>
          <t>~140 Falcon 9 + Starship</t>
        </is>
      </c>
      <c r="C10" t="inlineStr">
        <is>
          <t>n/a (private)</t>
        </is>
      </c>
      <c r="D10" t="inlineStr">
        <is>
          <t>Yes — launch + Starlink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NOTES — small-cap-growth peer framing</t>
        </is>
      </c>
    </row>
    <row r="3">
      <c r="A3" s="14" t="inlineStr">
        <is>
          <t>Peer framing</t>
        </is>
      </c>
    </row>
    <row r="4" ht="16" customHeight="1">
      <c r="A4" s="15" t="inlineStr">
        <is>
          <t>Pre-profit cohort: EV/Revenue is the cleaner multiple (most peers have negative or NM EBITDA).</t>
        </is>
      </c>
    </row>
    <row r="5" ht="16" customHeight="1">
      <c r="A5" s="15" t="inlineStr">
        <is>
          <t>Public peers: ASTS (pre-rev option), PL (subscription EO, first adj EBITDA+), IRDM (mature satcom, cash returns), RDW (closest growth comp).</t>
        </is>
      </c>
    </row>
    <row r="6" ht="16" customHeight="1">
      <c r="A6" s="15" t="inlineStr">
        <is>
          <t>LMT included as 'old-space' anchor — Space segment ~$13B/yr at ~10% op margin; sets the mature-state proxy.</t>
        </is>
      </c>
    </row>
    <row r="7" ht="16" customHeight="1">
      <c r="A7" s="15" t="inlineStr">
        <is>
          <t>SpaceX as private memo — recently filed S-1 (April 2026, IPO target $1.75-2T per Bloomberg); FY25 revenue $18.7B.</t>
        </is>
      </c>
    </row>
    <row r="9">
      <c r="A9" s="14" t="inlineStr">
        <is>
          <t>Key observations</t>
        </is>
      </c>
    </row>
    <row r="10" ht="16" customHeight="1">
      <c r="A10" s="15" t="inlineStr">
        <is>
          <t>RKLB EV/Rev ~110x vs PL 49x, RDW 9x, IRDM 7.5x, ASTS 410x — RKLB sits in the upper-growth zone.</t>
        </is>
      </c>
    </row>
    <row r="11" ht="16" customHeight="1">
      <c r="A11" s="15" t="inlineStr">
        <is>
          <t>Analyst consensus PT $103.91 (S&amp;P Global poll of 18 analysts) is ~16% BELOW spot $123.32 — Street view skeptical.</t>
        </is>
      </c>
    </row>
    <row r="12" ht="16" customHeight="1">
      <c r="A12" s="15" t="inlineStr">
        <is>
          <t>RKLB has rocketed ~5-6x from $20-30 levels in early 2025; current price embeds heroic terminal assumptions.</t>
        </is>
      </c>
    </row>
    <row r="13" ht="16" customHeight="1">
      <c r="A13" s="15" t="inlineStr">
        <is>
          <t>Companion: RKLB-Model.xlsx (DCF base $9.35 vs $123 market — 'too conservative' or 'right'? You decide).</t>
        </is>
      </c>
    </row>
    <row r="15">
      <c r="A15" s="14" t="inlineStr">
        <is>
          <t>Data sources &amp; caveats</t>
        </is>
      </c>
    </row>
    <row r="16" ht="16" customHeight="1">
      <c r="A16" s="15" t="inlineStr">
        <is>
          <t>RKLB Q1 CY26 10-Q (May 7, 2026); FY25 10-K (Feb 2026); IR press releases.</t>
        </is>
      </c>
    </row>
    <row r="17" ht="16" customHeight="1">
      <c r="A17" s="15" t="inlineStr">
        <is>
          <t>Peer Q1 26 8-Ks/IR releases. Market data via StockAnalysis/Macrotrends/Public.com (~June 1-3, 2026).</t>
        </is>
      </c>
    </row>
    <row r="18" ht="16" customHeight="1">
      <c r="A18" s="15" t="inlineStr">
        <is>
          <t>SpaceX figures from April 2026 S-1 disclosure + Bloomberg/Reuters/Satellite Today coverage.</t>
        </is>
      </c>
    </row>
    <row r="19" ht="16" customHeight="1">
      <c r="A19" s="15" t="inlineStr">
        <is>
          <t>Mynaric acquisition (NOT MDA Space) closed April 14, 2026 — $155.3M cash + 2.28M RKLB shares.</t>
        </is>
      </c>
    </row>
    <row r="20" ht="16" customHeight="1">
      <c r="A20" s="15" t="inlineStr">
        <is>
          <t>MCP terminals NOT configured. Research only, NOT investment advice.</t>
        </is>
      </c>
    </row>
  </sheetData>
  <mergeCells count="17">
    <mergeCell ref="A12:E12"/>
    <mergeCell ref="A4:E4"/>
    <mergeCell ref="A18:E18"/>
    <mergeCell ref="A20:E20"/>
    <mergeCell ref="A16:E16"/>
    <mergeCell ref="A15:E15"/>
    <mergeCell ref="A7:E7"/>
    <mergeCell ref="A10:E10"/>
    <mergeCell ref="A19:E19"/>
    <mergeCell ref="A11:E11"/>
    <mergeCell ref="A1:E1"/>
    <mergeCell ref="A5:E5"/>
    <mergeCell ref="A13:E13"/>
    <mergeCell ref="A6:E6"/>
    <mergeCell ref="A17:E17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2026-06-04T06:29:34Z</dcterms:created>
  <dcterms:modified xmlns:dcterms="http://purl.org/dc/terms/" xmlns:xsi="http://www.w3.org/2001/XMLSchema-instance" xsi:type="dcterms:W3CDTF">2026-06-04T06:29:34Z</dcterms:modified>
</cp:coreProperties>
</file>
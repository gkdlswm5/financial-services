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ivers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Cash Flow" sheetId="4" state="visible" r:id="rId4"/>
    <sheet xmlns:r="http://schemas.openxmlformats.org/officeDocument/2006/relationships" name="DCF" sheetId="5" state="visible" r:id="rId5"/>
    <sheet xmlns:r="http://schemas.openxmlformats.org/officeDocument/2006/relationships"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&quot;$&quot;#,##0.00"/>
    <numFmt numFmtId="166" formatCode="0.000"/>
  </numFmts>
  <fonts count="7">
    <font>
      <name val="Calibri"/>
      <family val="2"/>
      <color theme="1"/>
      <sz val="11"/>
      <scheme val="minor"/>
    </font>
    <font>
      <name val="Times New Roman"/>
      <b val="1"/>
      <color rgb="00FFFFFF"/>
      <sz val="12"/>
    </font>
    <font>
      <name val="Times New Roman"/>
      <i val="1"/>
      <color rgb="00595959"/>
      <sz val="10"/>
    </font>
    <font>
      <name val="Times New Roman"/>
      <b val="1"/>
      <color rgb="0017365D"/>
      <sz val="11"/>
    </font>
    <font>
      <name val="Times New Roman"/>
      <color rgb="00000000"/>
      <sz val="11"/>
    </font>
    <font>
      <name val="Times New Roman"/>
      <b val="1"/>
      <sz val="11"/>
    </font>
    <font>
      <name val="Times New Roman"/>
      <color rgb="000000FF"/>
      <sz val="11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1F2"/>
      </patternFill>
    </fill>
    <fill>
      <patternFill patternType="solid">
        <fgColor rgb="00F2F2F2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3" fontId="6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3" fontId="3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4" fillId="0" borderId="0" pivotButton="0" quotePrefix="0" xfId="0"/>
    <xf numFmtId="165" fontId="6" fillId="0" borderId="0" applyAlignment="1" pivotButton="0" quotePrefix="0" xfId="0">
      <alignment horizontal="center" vertical="center"/>
    </xf>
    <xf numFmtId="2" fontId="6" fillId="0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center" vertical="center"/>
    </xf>
    <xf numFmtId="0" fontId="3" fillId="0" borderId="0" pivotButton="0" quotePrefix="0" xfId="0"/>
    <xf numFmtId="164" fontId="3" fillId="4" borderId="0" applyAlignment="1" pivotButton="0" quotePrefix="0" xfId="0">
      <alignment horizontal="center" vertical="center"/>
    </xf>
    <xf numFmtId="3" fontId="3" fillId="4" borderId="0" applyAlignment="1" pivotButton="0" quotePrefix="0" xfId="0">
      <alignment horizontal="center" vertical="center"/>
    </xf>
    <xf numFmtId="0" fontId="3" fillId="3" borderId="0" pivotButton="0" quotePrefix="0" xfId="0"/>
    <xf numFmtId="166" fontId="4" fillId="0" borderId="0" applyAlignment="1" pivotButton="0" quotePrefix="0" xfId="0">
      <alignment horizontal="center" vertical="center"/>
    </xf>
    <xf numFmtId="165" fontId="3" fillId="5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/>
    </xf>
    <xf numFmtId="164" fontId="3" fillId="3" borderId="0" applyAlignment="1" pivotButton="0" quotePrefix="0" xfId="0">
      <alignment horizontal="center" vertical="center"/>
    </xf>
    <xf numFmtId="165" fontId="5" fillId="5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RKLB model</author>
  </authors>
  <commentList>
    <comment ref="C6" authorId="0" shapeId="0">
      <text>
        <t>FY24 Launch revenue $125.4M (16 launches)</t>
      </text>
    </comment>
    <comment ref="D6" authorId="0" shapeId="0">
      <text>
        <t>FY25 Launch revenue $199.0M (21 launches; +59% YoY)</t>
      </text>
    </comment>
    <comment ref="E6" authorId="0" shapeId="0">
      <text>
        <t>[E] FY26 Launch ~$260M: Q1 actual $63.7M + Q2 implied ramp; Neutron Q4 NET</t>
      </text>
    </comment>
    <comment ref="F6" authorId="0" shapeId="0">
      <text>
        <t>[E] Launch: Neutron Q4 2026 first flight (expendable); FY27 ~5 Neutron @ $50M = $250M + Electron ~25 @ $9-11M = ~$280M; FY30 mature cadence 18-20 Neutron + 30 Electron</t>
      </text>
    </comment>
    <comment ref="G6" authorId="0" shapeId="0">
      <text>
        <t>[E] Launch: Neutron Q4 2026 first flight (expendable); FY27 ~5 Neutron @ $50M = $250M + Electron ~25 @ $9-11M = ~$280M; FY30 mature cadence 18-20 Neutron + 30 Electron</t>
      </text>
    </comment>
    <comment ref="H6" authorId="0" shapeId="0">
      <text>
        <t>[E] Launch: Neutron Q4 2026 first flight (expendable); FY27 ~5 Neutron @ $50M = $250M + Electron ~25 @ $9-11M = ~$280M; FY30 mature cadence 18-20 Neutron + 30 Electron</t>
      </text>
    </comment>
    <comment ref="I6" authorId="0" shapeId="0">
      <text>
        <t>[E] Launch: Neutron Q4 2026 first flight (expendable); FY27 ~5 Neutron @ $50M = $250M + Electron ~25 @ $9-11M = ~$280M; FY30 mature cadence 18-20 Neutron + 30 Electron</t>
      </text>
    </comment>
    <comment ref="J6" authorId="0" shapeId="0">
      <text>
        <t>[E] Launch: Neutron Q4 2026 first flight (expendable); FY27 ~5 Neutron @ $50M = $250M + Electron ~25 @ $9-11M = ~$280M; FY30 mature cadence 18-20 Neutron + 30 Electron</t>
      </text>
    </comment>
    <comment ref="C7" authorId="0" shapeId="0">
      <text>
        <t>FY24 Space Systems $310.8M</t>
      </text>
    </comment>
    <comment ref="D7" authorId="0" shapeId="0">
      <text>
        <t>FY25 Space Systems $402.8M (+30%; ~67% of revenue)</t>
      </text>
    </comment>
    <comment ref="E7" authorId="0" shapeId="0">
      <text>
        <t>[E] FY26 Space Systems ~$610M: Q1 $136.7M + Mynaric contribution + SDA T2 Beta ramp</t>
      </text>
    </comment>
    <comment ref="F7" authorId="0" shapeId="0">
      <text>
        <t>[E] Space Systems: SDA T2 Beta delivery FY26-27 ($1.3B contract); Mynaric optical comms scaling; Photon + bus + subsystems +30%/yr base then tapering</t>
      </text>
    </comment>
    <comment ref="G7" authorId="0" shapeId="0">
      <text>
        <t>[E] Space Systems: SDA T2 Beta delivery FY26-27 ($1.3B contract); Mynaric optical comms scaling; Photon + bus + subsystems +30%/yr base then tapering</t>
      </text>
    </comment>
    <comment ref="H7" authorId="0" shapeId="0">
      <text>
        <t>[E] Space Systems: SDA T2 Beta delivery FY26-27 ($1.3B contract); Mynaric optical comms scaling; Photon + bus + subsystems +30%/yr base then tapering</t>
      </text>
    </comment>
    <comment ref="I7" authorId="0" shapeId="0">
      <text>
        <t>[E] Space Systems: SDA T2 Beta delivery FY26-27 ($1.3B contract); Mynaric optical comms scaling; Photon + bus + subsystems +30%/yr base then tapering</t>
      </text>
    </comment>
    <comment ref="J7" authorId="0" shapeId="0">
      <text>
        <t>[E] Space Systems: SDA T2 Beta delivery FY26-27 ($1.3B contract); Mynaric optical comms scaling; Photon + bus + subsystems +30%/yr base then tapering</t>
      </text>
    </comment>
    <comment ref="C13" authorId="0" shapeId="0">
      <text>
        <t>[E] Electron launches: actual FY24 16, FY25 21; ramp to ~32/yr at mature cadence</t>
      </text>
    </comment>
    <comment ref="D13" authorId="0" shapeId="0">
      <text>
        <t>[E] Electron launches: actual FY24 16, FY25 21; ramp to ~32/yr at mature cadence</t>
      </text>
    </comment>
    <comment ref="E13" authorId="0" shapeId="0">
      <text>
        <t>[E] Electron launches: actual FY24 16, FY25 21; ramp to ~32/yr at mature cadence</t>
      </text>
    </comment>
    <comment ref="F13" authorId="0" shapeId="0">
      <text>
        <t>[E] Electron launches: actual FY24 16, FY25 21; ramp to ~32/yr at mature cadence</t>
      </text>
    </comment>
    <comment ref="G13" authorId="0" shapeId="0">
      <text>
        <t>[E] Electron launches: actual FY24 16, FY25 21; ramp to ~32/yr at mature cadence</t>
      </text>
    </comment>
    <comment ref="H13" authorId="0" shapeId="0">
      <text>
        <t>[E] Electron launches: actual FY24 16, FY25 21; ramp to ~32/yr at mature cadence</t>
      </text>
    </comment>
    <comment ref="I13" authorId="0" shapeId="0">
      <text>
        <t>[E] Electron launches: actual FY24 16, FY25 21; ramp to ~32/yr at mature cadence</t>
      </text>
    </comment>
    <comment ref="J13" authorId="0" shapeId="0">
      <text>
        <t>[E] Electron launches: actual FY24 16, FY25 21; ramp to ~32/yr at mature cadence</t>
      </text>
    </comment>
    <comment ref="C14" authorId="0" shapeId="0">
      <text>
        <t>[E] Neutron: Q4 2026 first flight (expendable); 5 FY27 -&gt; mature 18-20/yr by FY30+ (vs SpaceX Falcon 9 ~140/yr)</t>
      </text>
    </comment>
    <comment ref="D14" authorId="0" shapeId="0">
      <text>
        <t>[E] Neutron: Q4 2026 first flight (expendable); 5 FY27 -&gt; mature 18-20/yr by FY30+ (vs SpaceX Falcon 9 ~140/yr)</t>
      </text>
    </comment>
    <comment ref="E14" authorId="0" shapeId="0">
      <text>
        <t>[E] Neutron: Q4 2026 first flight (expendable); 5 FY27 -&gt; mature 18-20/yr by FY30+ (vs SpaceX Falcon 9 ~140/yr)</t>
      </text>
    </comment>
    <comment ref="F14" authorId="0" shapeId="0">
      <text>
        <t>[E] Neutron: Q4 2026 first flight (expendable); 5 FY27 -&gt; mature 18-20/yr by FY30+ (vs SpaceX Falcon 9 ~140/yr)</t>
      </text>
    </comment>
    <comment ref="G14" authorId="0" shapeId="0">
      <text>
        <t>[E] Neutron: Q4 2026 first flight (expendable); 5 FY27 -&gt; mature 18-20/yr by FY30+ (vs SpaceX Falcon 9 ~140/yr)</t>
      </text>
    </comment>
    <comment ref="H14" authorId="0" shapeId="0">
      <text>
        <t>[E] Neutron: Q4 2026 first flight (expendable); 5 FY27 -&gt; mature 18-20/yr by FY30+ (vs SpaceX Falcon 9 ~140/yr)</t>
      </text>
    </comment>
    <comment ref="I14" authorId="0" shapeId="0">
      <text>
        <t>[E] Neutron: Q4 2026 first flight (expendable); 5 FY27 -&gt; mature 18-20/yr by FY30+ (vs SpaceX Falcon 9 ~140/yr)</t>
      </text>
    </comment>
    <comment ref="J14" authorId="0" shapeId="0">
      <text>
        <t>[E] Neutron: Q4 2026 first flight (expendable); 5 FY27 -&gt; mature 18-20/yr by FY30+ (vs SpaceX Falcon 9 ~140/yr)</t>
      </text>
    </comment>
    <comment ref="C15" authorId="0" shapeId="0">
      <text>
        <t>[E] Neutron target price $50-55M; first ~3 flights likely loss-leading</t>
      </text>
    </comment>
    <comment ref="D15" authorId="0" shapeId="0">
      <text>
        <t>[E] Neutron target price $50-55M; first ~3 flights likely loss-leading</t>
      </text>
    </comment>
    <comment ref="E15" authorId="0" shapeId="0">
      <text>
        <t>[E] Neutron target price $50-55M; first ~3 flights likely loss-leading</t>
      </text>
    </comment>
    <comment ref="F15" authorId="0" shapeId="0">
      <text>
        <t>[E] Neutron target price $50-55M; first ~3 flights likely loss-leading</t>
      </text>
    </comment>
    <comment ref="G15" authorId="0" shapeId="0">
      <text>
        <t>[E] Neutron target price $50-55M; first ~3 flights likely loss-leading</t>
      </text>
    </comment>
    <comment ref="H15" authorId="0" shapeId="0">
      <text>
        <t>[E] Neutron target price $50-55M; first ~3 flights likely loss-leading</t>
      </text>
    </comment>
    <comment ref="I15" authorId="0" shapeId="0">
      <text>
        <t>[E] Neutron target price $50-55M; first ~3 flights likely loss-leading</t>
      </text>
    </comment>
    <comment ref="J15" authorId="0" shapeId="0">
      <text>
        <t>[E] Neutron target price $50-55M; first ~3 flights likely loss-leading</t>
      </text>
    </comment>
    <comment ref="C19" authorId="0" shapeId="0">
      <text>
        <t>[E] GM expansion: 27%(24) -&gt; 36%(26 Q1 actual 38.2%) -&gt; 48%(31) as Neutron + Mynaric mature</t>
      </text>
    </comment>
    <comment ref="D19" authorId="0" shapeId="0">
      <text>
        <t>[E] GM expansion: 27%(24) -&gt; 36%(26 Q1 actual 38.2%) -&gt; 48%(31) as Neutron + Mynaric mature</t>
      </text>
    </comment>
    <comment ref="E19" authorId="0" shapeId="0">
      <text>
        <t>[E] GM expansion: 27%(24) -&gt; 36%(26 Q1 actual 38.2%) -&gt; 48%(31) as Neutron + Mynaric mature</t>
      </text>
    </comment>
    <comment ref="F19" authorId="0" shapeId="0">
      <text>
        <t>[E] GM expansion: 27%(24) -&gt; 36%(26 Q1 actual 38.2%) -&gt; 48%(31) as Neutron + Mynaric mature</t>
      </text>
    </comment>
    <comment ref="G19" authorId="0" shapeId="0">
      <text>
        <t>[E] GM expansion: 27%(24) -&gt; 36%(26 Q1 actual 38.2%) -&gt; 48%(31) as Neutron + Mynaric mature</t>
      </text>
    </comment>
    <comment ref="H19" authorId="0" shapeId="0">
      <text>
        <t>[E] GM expansion: 27%(24) -&gt; 36%(26 Q1 actual 38.2%) -&gt; 48%(31) as Neutron + Mynaric mature</t>
      </text>
    </comment>
    <comment ref="I19" authorId="0" shapeId="0">
      <text>
        <t>[E] GM expansion: 27%(24) -&gt; 36%(26 Q1 actual 38.2%) -&gt; 48%(31) as Neutron + Mynaric mature</t>
      </text>
    </comment>
    <comment ref="J19" authorId="0" shapeId="0">
      <text>
        <t>[E] GM expansion: 27%(24) -&gt; 36%(26 Q1 actual 38.2%) -&gt; 48%(31) as Neutron + Mynaric mature</t>
      </text>
    </comment>
    <comment ref="C20" authorId="0" shapeId="0">
      <text>
        <t>FY24 op margin ~-44%</t>
      </text>
    </comment>
    <comment ref="D20" authorId="0" shapeId="0">
      <text>
        <t>FY25 op margin ~-38% ($229M op loss / $602M rev)</t>
      </text>
    </comment>
    <comment ref="E20" authorId="0" shapeId="0">
      <text>
        <t>[E] FY26 -20% (narrowing on revenue scale)</t>
      </text>
    </comment>
    <comment ref="F20" authorId="0" shapeId="0">
      <text>
        <t>[E] FY27 ~-5% (near breakeven)</t>
      </text>
    </comment>
    <comment ref="G20" authorId="0" shapeId="0">
      <text>
        <t>[E] FY28 +5% (first profitable year, Neutron 12 launches)</t>
      </text>
    </comment>
    <comment ref="H20" authorId="0" shapeId="0">
      <text>
        <t>[E] FY29 +10%</t>
      </text>
    </comment>
    <comment ref="I20" authorId="0" shapeId="0">
      <text>
        <t>[E] FY30 +13%</t>
      </text>
    </comment>
    <comment ref="J20" authorId="0" shapeId="0">
      <text>
        <t>[E] FY31 +15% (mature margin)</t>
      </text>
    </comment>
    <comment ref="C21" authorId="0" shapeId="0">
      <text>
        <t>[E] D&amp;A grows with Neutron infrastructure depreciation post-FY26</t>
      </text>
    </comment>
    <comment ref="D21" authorId="0" shapeId="0">
      <text>
        <t>[E] D&amp;A grows with Neutron infrastructure depreciation post-FY26</t>
      </text>
    </comment>
    <comment ref="E21" authorId="0" shapeId="0">
      <text>
        <t>[E] D&amp;A grows with Neutron infrastructure depreciation post-FY26</t>
      </text>
    </comment>
    <comment ref="F21" authorId="0" shapeId="0">
      <text>
        <t>[E] D&amp;A grows with Neutron infrastructure depreciation post-FY26</t>
      </text>
    </comment>
    <comment ref="G21" authorId="0" shapeId="0">
      <text>
        <t>[E] D&amp;A grows with Neutron infrastructure depreciation post-FY26</t>
      </text>
    </comment>
    <comment ref="H21" authorId="0" shapeId="0">
      <text>
        <t>[E] D&amp;A grows with Neutron infrastructure depreciation post-FY26</t>
      </text>
    </comment>
    <comment ref="I21" authorId="0" shapeId="0">
      <text>
        <t>[E] D&amp;A grows with Neutron infrastructure depreciation post-FY26</t>
      </text>
    </comment>
    <comment ref="J21" authorId="0" shapeId="0">
      <text>
        <t>[E] D&amp;A grows with Neutron infrastructure depreciation post-FY26</t>
      </text>
    </comment>
    <comment ref="C22" authorId="0" shapeId="0">
      <text>
        <t>[E] FY24 $80M / FY25 $120M / FY26 $180M (peak Neutron build) / taper</t>
      </text>
    </comment>
    <comment ref="D22" authorId="0" shapeId="0">
      <text>
        <t>[E] FY24 $80M / FY25 $120M / FY26 $180M (peak Neutron build) / taper</t>
      </text>
    </comment>
    <comment ref="E22" authorId="0" shapeId="0">
      <text>
        <t>[E] FY24 $80M / FY25 $120M / FY26 $180M (peak Neutron build) / taper</t>
      </text>
    </comment>
    <comment ref="F22" authorId="0" shapeId="0">
      <text>
        <t>[E] FY24 $80M / FY25 $120M / FY26 $180M (peak Neutron build) / taper</t>
      </text>
    </comment>
    <comment ref="G22" authorId="0" shapeId="0">
      <text>
        <t>[E] FY24 $80M / FY25 $120M / FY26 $180M (peak Neutron build) / taper</t>
      </text>
    </comment>
    <comment ref="H22" authorId="0" shapeId="0">
      <text>
        <t>[E] FY24 $80M / FY25 $120M / FY26 $180M (peak Neutron build) / taper</t>
      </text>
    </comment>
    <comment ref="I22" authorId="0" shapeId="0">
      <text>
        <t>[E] FY24 $80M / FY25 $120M / FY26 $180M (peak Neutron build) / taper</t>
      </text>
    </comment>
    <comment ref="J22" authorId="0" shapeId="0">
      <text>
        <t>[E] FY24 $80M / FY25 $120M / FY26 $180M (peak Neutron build) / taper</t>
      </text>
    </comment>
    <comment ref="C23" authorId="0" shapeId="0">
      <text>
        <t>[E] Cash tax ~0% near-term (NOLs); ramps to ~21% by FY30 once profitable</t>
      </text>
    </comment>
    <comment ref="D23" authorId="0" shapeId="0">
      <text>
        <t>[E] Cash tax ~0% near-term (NOLs); ramps to ~21% by FY30 once profitable</t>
      </text>
    </comment>
    <comment ref="E23" authorId="0" shapeId="0">
      <text>
        <t>[E] Cash tax ~0% near-term (NOLs); ramps to ~21% by FY30 once profitable</t>
      </text>
    </comment>
    <comment ref="F23" authorId="0" shapeId="0">
      <text>
        <t>[E] Cash tax ~0% near-term (NOLs); ramps to ~21% by FY30 once profitable</t>
      </text>
    </comment>
    <comment ref="G23" authorId="0" shapeId="0">
      <text>
        <t>[E] Cash tax ~0% near-term (NOLs); ramps to ~21% by FY30 once profitable</t>
      </text>
    </comment>
    <comment ref="H23" authorId="0" shapeId="0">
      <text>
        <t>[E] Cash tax ~0% near-term (NOLs); ramps to ~21% by FY30 once profitable</t>
      </text>
    </comment>
    <comment ref="I23" authorId="0" shapeId="0">
      <text>
        <t>[E] Cash tax ~0% near-term (NOLs); ramps to ~21% by FY30 once profitable</t>
      </text>
    </comment>
    <comment ref="J23" authorId="0" shapeId="0">
      <text>
        <t>[E] Cash tax ~0% near-term (NOLs); ramps to ~21% by FY30 once profitable</t>
      </text>
    </comment>
    <comment ref="C26" authorId="0" shapeId="0">
      <text>
        <t>RKLB ~$123.32 (June 2, 2026 close); 52-wk high $150.23 (May 27)</t>
      </text>
    </comment>
    <comment ref="C27" authorId="0" shapeId="0">
      <text>
        <t>~608M shares (Q1 26 w.avg + Mynaric 2.28M)</t>
      </text>
    </comment>
    <comment ref="C28" authorId="0" shapeId="0">
      <text>
        <t>Convertible 4.25% notes 2029 $37.6M residual (most converted)</t>
      </text>
    </comment>
    <comment ref="C29" authorId="0" shapeId="0">
      <text>
        <t>Cash + marketable securities $1.48B (Q1 26)</t>
      </text>
    </comment>
    <comment ref="C30" authorId="0" shapeId="0">
      <text>
        <t>[E] 10-yr UST ~4.3%</t>
      </text>
    </comment>
    <comment ref="C31" authorId="0" shapeId="0">
      <text>
        <t>[E] ERP ~5.0%</t>
      </text>
    </comment>
    <comment ref="C32" authorId="0" shapeId="0">
      <text>
        <t>[E] RKLB beta ~1.8 (small-cap, growth, high-beta space)</t>
      </text>
    </comment>
    <comment ref="C33" authorId="0" shapeId="0">
      <text>
        <t>[E] If RKLB issued debt today ~6% (BB-equiv)</t>
      </text>
    </comment>
    <comment ref="C34" authorId="0" shapeId="0">
      <text>
        <t>[E] BASE terminal growth 3.5% (space industry secular)</t>
      </text>
    </comment>
  </commentList>
</comments>
</file>

<file path=xl/comments/comment2.xml><?xml version="1.0" encoding="utf-8"?>
<comments xmlns="http://schemas.openxmlformats.org/spreadsheetml/2006/main">
  <authors>
    <author>RKLB model</author>
  </authors>
  <commentList>
    <comment ref="C5" authorId="0" shapeId="0">
      <text>
        <t>[E] FY24 cash ~$425M</t>
      </text>
    </comment>
    <comment ref="D5" authorId="0" shapeId="0">
      <text>
        <t>[E] FY25 cash ~$1.09B (post $1.146B ATM)</t>
      </text>
    </comment>
    <comment ref="E5" authorId="0" shapeId="0">
      <text>
        <t>Q1 FY26 cash $1.48B</t>
      </text>
    </comment>
    <comment ref="C6" authorId="0" shapeId="0">
      <text>
        <t>[E] FY24 backlog ~$1.07B</t>
      </text>
    </comment>
    <comment ref="D6" authorId="0" shapeId="0">
      <text>
        <t>FY25 backlog $1.85B (+73% YoY)</t>
      </text>
    </comment>
    <comment ref="E6" authorId="0" shapeId="0">
      <text>
        <t>Q1 FY26 backlog $2.22B (+108% YoY)</t>
      </text>
    </comment>
    <comment ref="C7" authorId="0" shapeId="0">
      <text>
        <t>[E] FY24 LT debt incl. converts ~$360M</t>
      </text>
    </comment>
    <comment ref="D7" authorId="0" shapeId="0">
      <text>
        <t>[E] FY25 LT debt ~$100M (post-conversions)</t>
      </text>
    </comment>
    <comment ref="E7" authorId="0" shapeId="0">
      <text>
        <t>Q1 FY26 LT debt $38M (residual converts)</t>
      </text>
    </comment>
    <comment ref="F8" authorId="0" shapeId="0">
      <text>
        <t>[E] FY26 — no further ATM expected (cash &gt; $1.4B)</t>
      </text>
    </comment>
    <comment ref="G8" authorId="0" shapeId="0">
      <text>
        <t>[E] FY27 ATM ~$200M to fund Neutron ramp + working capital</t>
      </text>
    </comment>
    <comment ref="H8" authorId="0" shapeId="0">
      <text>
        <t>[E] FY28 — internally funded by then</t>
      </text>
    </comment>
    <comment ref="I8" authorId="0" shapeId="0">
      <text>
        <t/>
      </text>
    </comment>
    <comment ref="J8" authorId="0" shapeId="0">
      <text>
        <t/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>
      <c r="A1" s="1" t="inlineStr">
        <is>
          <t>ROCKET LAB USA (RKLB) — INTEGRATED MODEL: DRIVERS &amp; ASSUMPTIONS</t>
        </is>
      </c>
    </row>
    <row r="2">
      <c r="A2" s="2" t="inlineStr">
        <is>
          <t>As of June 3, 2026 | $M unless noted | Blue=input, Black=formula | Pre-profit growth name: EV/Rev + capacity multiples are the cleaner gauge</t>
        </is>
      </c>
    </row>
    <row r="4">
      <c r="A4" s="1" t="inlineStr">
        <is>
          <t>SEGMENT REVENUE BUILD ($M)</t>
        </is>
      </c>
    </row>
    <row r="5">
      <c r="A5" s="3" t="inlineStr">
        <is>
          <t>($ in millions)</t>
        </is>
      </c>
      <c r="C5" s="4" t="inlineStr">
        <is>
          <t>FY2024A</t>
        </is>
      </c>
      <c r="D5" s="4" t="inlineStr">
        <is>
          <t>FY2025A</t>
        </is>
      </c>
      <c r="E5" s="4" t="inlineStr">
        <is>
          <t>FY2026E</t>
        </is>
      </c>
      <c r="F5" s="4" t="inlineStr">
        <is>
          <t>FY2027E</t>
        </is>
      </c>
      <c r="G5" s="4" t="inlineStr">
        <is>
          <t>FY2028E</t>
        </is>
      </c>
      <c r="H5" s="4" t="inlineStr">
        <is>
          <t>FY2029E</t>
        </is>
      </c>
      <c r="I5" s="4" t="inlineStr">
        <is>
          <t>FY2030E</t>
        </is>
      </c>
      <c r="J5" s="4" t="inlineStr">
        <is>
          <t>FY2031E</t>
        </is>
      </c>
    </row>
    <row r="6">
      <c r="A6" s="5" t="inlineStr">
        <is>
          <t xml:space="preserve">  Launch Services (Electron + Neutron)</t>
        </is>
      </c>
      <c r="C6" s="6" t="n">
        <v>125</v>
      </c>
      <c r="D6" s="6" t="n">
        <v>199</v>
      </c>
      <c r="E6" s="6" t="n">
        <v>260</v>
      </c>
      <c r="F6" s="6" t="n">
        <v>550</v>
      </c>
      <c r="G6" s="6" t="n">
        <v>1100</v>
      </c>
      <c r="H6" s="6" t="n">
        <v>1700</v>
      </c>
      <c r="I6" s="6" t="n">
        <v>2300</v>
      </c>
      <c r="J6" s="6" t="n">
        <v>2900</v>
      </c>
    </row>
    <row r="7">
      <c r="A7" s="5" t="inlineStr">
        <is>
          <t xml:space="preserve">  Space Systems (incl. Mynaric)</t>
        </is>
      </c>
      <c r="C7" s="6" t="n">
        <v>311</v>
      </c>
      <c r="D7" s="6" t="n">
        <v>403</v>
      </c>
      <c r="E7" s="6" t="n">
        <v>610</v>
      </c>
      <c r="F7" s="6" t="n">
        <v>825</v>
      </c>
      <c r="G7" s="6" t="n">
        <v>1080</v>
      </c>
      <c r="H7" s="6" t="n">
        <v>1380</v>
      </c>
      <c r="I7" s="6" t="n">
        <v>1700</v>
      </c>
      <c r="J7" s="6" t="n">
        <v>2050</v>
      </c>
    </row>
    <row r="8">
      <c r="A8" s="7" t="inlineStr">
        <is>
          <t>Total revenue</t>
        </is>
      </c>
      <c r="C8" s="8">
        <f>SUM(C6:C7)</f>
        <v/>
      </c>
      <c r="D8" s="8">
        <f>SUM(D6:D7)</f>
        <v/>
      </c>
      <c r="E8" s="8">
        <f>SUM(E6:E7)</f>
        <v/>
      </c>
      <c r="F8" s="8">
        <f>SUM(F6:F7)</f>
        <v/>
      </c>
      <c r="G8" s="8">
        <f>SUM(G6:G7)</f>
        <v/>
      </c>
      <c r="H8" s="8">
        <f>SUM(H6:H7)</f>
        <v/>
      </c>
      <c r="I8" s="8">
        <f>SUM(I6:I7)</f>
        <v/>
      </c>
      <c r="J8" s="8">
        <f>SUM(J6:J7)</f>
        <v/>
      </c>
    </row>
    <row r="9">
      <c r="A9" s="5" t="inlineStr">
        <is>
          <t xml:space="preserve">  Total revenue growth %</t>
        </is>
      </c>
      <c r="C9" s="2" t="inlineStr">
        <is>
          <t>n/a</t>
        </is>
      </c>
      <c r="D9" s="9">
        <f>D8/C8-1</f>
        <v/>
      </c>
      <c r="E9" s="9">
        <f>E8/D8-1</f>
        <v/>
      </c>
      <c r="F9" s="9">
        <f>F8/E8-1</f>
        <v/>
      </c>
      <c r="G9" s="9">
        <f>G8/F8-1</f>
        <v/>
      </c>
      <c r="H9" s="9">
        <f>H8/G8-1</f>
        <v/>
      </c>
      <c r="I9" s="9">
        <f>I8/H8-1</f>
        <v/>
      </c>
      <c r="J9" s="9">
        <f>J8/I8-1</f>
        <v/>
      </c>
    </row>
    <row r="11">
      <c r="A11" s="1" t="inlineStr">
        <is>
          <t>CAPACITY &amp; UNIT ECONOMICS</t>
        </is>
      </c>
    </row>
    <row r="12">
      <c r="A12" s="3" t="inlineStr">
        <is>
          <t>($ in millions)</t>
        </is>
      </c>
      <c r="C12" s="4" t="inlineStr">
        <is>
          <t>FY2024A</t>
        </is>
      </c>
      <c r="D12" s="4" t="inlineStr">
        <is>
          <t>FY2025A</t>
        </is>
      </c>
      <c r="E12" s="4" t="inlineStr">
        <is>
          <t>FY2026E</t>
        </is>
      </c>
      <c r="F12" s="4" t="inlineStr">
        <is>
          <t>FY2027E</t>
        </is>
      </c>
      <c r="G12" s="4" t="inlineStr">
        <is>
          <t>FY2028E</t>
        </is>
      </c>
      <c r="H12" s="4" t="inlineStr">
        <is>
          <t>FY2029E</t>
        </is>
      </c>
      <c r="I12" s="4" t="inlineStr">
        <is>
          <t>FY2030E</t>
        </is>
      </c>
      <c r="J12" s="4" t="inlineStr">
        <is>
          <t>FY2031E</t>
        </is>
      </c>
    </row>
    <row r="13">
      <c r="A13" s="5" t="inlineStr">
        <is>
          <t xml:space="preserve">  Electron + HASTE launches per year</t>
        </is>
      </c>
      <c r="C13" s="6" t="n">
        <v>16</v>
      </c>
      <c r="D13" s="6" t="n">
        <v>21</v>
      </c>
      <c r="E13" s="6" t="n">
        <v>22</v>
      </c>
      <c r="F13" s="6" t="n">
        <v>28</v>
      </c>
      <c r="G13" s="6" t="n">
        <v>30</v>
      </c>
      <c r="H13" s="6" t="n">
        <v>32</v>
      </c>
      <c r="I13" s="6" t="n">
        <v>32</v>
      </c>
      <c r="J13" s="6" t="n">
        <v>32</v>
      </c>
    </row>
    <row r="14">
      <c r="A14" s="5" t="inlineStr">
        <is>
          <t xml:space="preserve">  Neutron launches per year</t>
        </is>
      </c>
      <c r="C14" s="6" t="n">
        <v>0</v>
      </c>
      <c r="D14" s="6" t="n">
        <v>0</v>
      </c>
      <c r="E14" s="6" t="n">
        <v>1</v>
      </c>
      <c r="F14" s="6" t="n">
        <v>5</v>
      </c>
      <c r="G14" s="6" t="n">
        <v>12</v>
      </c>
      <c r="H14" s="6" t="n">
        <v>16</v>
      </c>
      <c r="I14" s="6" t="n">
        <v>18</v>
      </c>
      <c r="J14" s="6" t="n">
        <v>20</v>
      </c>
    </row>
    <row r="15">
      <c r="A15" s="5" t="inlineStr">
        <is>
          <t xml:space="preserve">  Neutron avg price per launch ($M)</t>
        </is>
      </c>
      <c r="C15" s="6" t="n">
        <v>0</v>
      </c>
      <c r="D15" s="6" t="n">
        <v>0</v>
      </c>
      <c r="E15" s="6" t="n">
        <v>50</v>
      </c>
      <c r="F15" s="6" t="n">
        <v>52</v>
      </c>
      <c r="G15" s="6" t="n">
        <v>53</v>
      </c>
      <c r="H15" s="6" t="n">
        <v>54</v>
      </c>
      <c r="I15" s="6" t="n">
        <v>55</v>
      </c>
      <c r="J15" s="6" t="n">
        <v>55</v>
      </c>
    </row>
    <row r="17">
      <c r="A17" s="1" t="inlineStr">
        <is>
          <t>MARGIN &amp; FCF DRIVERS</t>
        </is>
      </c>
    </row>
    <row r="18">
      <c r="A18" s="3" t="inlineStr">
        <is>
          <t>($ in millions)</t>
        </is>
      </c>
      <c r="C18" s="4" t="inlineStr">
        <is>
          <t>FY2024A</t>
        </is>
      </c>
      <c r="D18" s="4" t="inlineStr">
        <is>
          <t>FY2025A</t>
        </is>
      </c>
      <c r="E18" s="4" t="inlineStr">
        <is>
          <t>FY2026E</t>
        </is>
      </c>
      <c r="F18" s="4" t="inlineStr">
        <is>
          <t>FY2027E</t>
        </is>
      </c>
      <c r="G18" s="4" t="inlineStr">
        <is>
          <t>FY2028E</t>
        </is>
      </c>
      <c r="H18" s="4" t="inlineStr">
        <is>
          <t>FY2029E</t>
        </is>
      </c>
      <c r="I18" s="4" t="inlineStr">
        <is>
          <t>FY2030E</t>
        </is>
      </c>
      <c r="J18" s="4" t="inlineStr">
        <is>
          <t>FY2031E</t>
        </is>
      </c>
    </row>
    <row r="19">
      <c r="A19" s="5" t="inlineStr">
        <is>
          <t xml:space="preserve">  Gross margin %</t>
        </is>
      </c>
      <c r="C19" s="10" t="n">
        <v>0.27</v>
      </c>
      <c r="D19" s="10" t="n">
        <v>0.3</v>
      </c>
      <c r="E19" s="10" t="n">
        <v>0.36</v>
      </c>
      <c r="F19" s="10" t="n">
        <v>0.4</v>
      </c>
      <c r="G19" s="10" t="n">
        <v>0.42</v>
      </c>
      <c r="H19" s="10" t="n">
        <v>0.45</v>
      </c>
      <c r="I19" s="10" t="n">
        <v>0.47</v>
      </c>
      <c r="J19" s="10" t="n">
        <v>0.48</v>
      </c>
    </row>
    <row r="20">
      <c r="A20" s="5" t="inlineStr">
        <is>
          <t xml:space="preserve">  Operating margin % (EBIT)</t>
        </is>
      </c>
      <c r="C20" s="10" t="n">
        <v>-0.44</v>
      </c>
      <c r="D20" s="10" t="n">
        <v>-0.38</v>
      </c>
      <c r="E20" s="10" t="n">
        <v>-0.2</v>
      </c>
      <c r="F20" s="10" t="n">
        <v>-0.05</v>
      </c>
      <c r="G20" s="10" t="n">
        <v>0.05</v>
      </c>
      <c r="H20" s="10" t="n">
        <v>0.1</v>
      </c>
      <c r="I20" s="10" t="n">
        <v>0.13</v>
      </c>
      <c r="J20" s="10" t="n">
        <v>0.15</v>
      </c>
    </row>
    <row r="21">
      <c r="A21" s="5" t="inlineStr">
        <is>
          <t xml:space="preserve">  D&amp;A ($M)</t>
        </is>
      </c>
      <c r="C21" s="6" t="n">
        <v>30</v>
      </c>
      <c r="D21" s="6" t="n">
        <v>40</v>
      </c>
      <c r="E21" s="6" t="n">
        <v>55</v>
      </c>
      <c r="F21" s="6" t="n">
        <v>85</v>
      </c>
      <c r="G21" s="6" t="n">
        <v>120</v>
      </c>
      <c r="H21" s="6" t="n">
        <v>150</v>
      </c>
      <c r="I21" s="6" t="n">
        <v>175</v>
      </c>
      <c r="J21" s="6" t="n">
        <v>195</v>
      </c>
    </row>
    <row r="22">
      <c r="A22" s="5" t="inlineStr">
        <is>
          <t xml:space="preserve">  Capex ($M)</t>
        </is>
      </c>
      <c r="C22" s="6" t="n">
        <v>80</v>
      </c>
      <c r="D22" s="6" t="n">
        <v>120</v>
      </c>
      <c r="E22" s="6" t="n">
        <v>180</v>
      </c>
      <c r="F22" s="6" t="n">
        <v>220</v>
      </c>
      <c r="G22" s="6" t="n">
        <v>200</v>
      </c>
      <c r="H22" s="6" t="n">
        <v>170</v>
      </c>
      <c r="I22" s="6" t="n">
        <v>150</v>
      </c>
      <c r="J22" s="6" t="n">
        <v>140</v>
      </c>
    </row>
    <row r="23">
      <c r="A23" s="5" t="inlineStr">
        <is>
          <t xml:space="preserve">  Cash tax rate %</t>
        </is>
      </c>
      <c r="C23" s="10" t="n">
        <v>0</v>
      </c>
      <c r="D23" s="10" t="n">
        <v>0</v>
      </c>
      <c r="E23" s="10" t="n">
        <v>0</v>
      </c>
      <c r="F23" s="10" t="n">
        <v>0</v>
      </c>
      <c r="G23" s="10" t="n">
        <v>0.1</v>
      </c>
      <c r="H23" s="10" t="n">
        <v>0.15</v>
      </c>
      <c r="I23" s="10" t="n">
        <v>0.21</v>
      </c>
      <c r="J23" s="10" t="n">
        <v>0.21</v>
      </c>
    </row>
    <row r="25">
      <c r="A25" s="1" t="inlineStr">
        <is>
          <t>MARKET DATA &amp; WACC INPUTS</t>
        </is>
      </c>
    </row>
    <row r="26">
      <c r="A26" s="11" t="inlineStr">
        <is>
          <t>Current share price ($)</t>
        </is>
      </c>
      <c r="C26" s="12" t="n">
        <v>123.32</v>
      </c>
    </row>
    <row r="27">
      <c r="A27" s="11" t="inlineStr">
        <is>
          <t>Diluted shares (M)</t>
        </is>
      </c>
      <c r="C27" s="6" t="n">
        <v>608</v>
      </c>
    </row>
    <row r="28">
      <c r="A28" s="11" t="inlineStr">
        <is>
          <t>Total debt ($M)</t>
        </is>
      </c>
      <c r="C28" s="6" t="n">
        <v>38</v>
      </c>
    </row>
    <row r="29">
      <c r="A29" s="11" t="inlineStr">
        <is>
          <t>Cash &amp; marketable securities ($M)</t>
        </is>
      </c>
      <c r="C29" s="6" t="n">
        <v>1480</v>
      </c>
    </row>
    <row r="30">
      <c r="A30" s="11" t="inlineStr">
        <is>
          <t>Risk-free rate %</t>
        </is>
      </c>
      <c r="C30" s="10" t="n">
        <v>0.043</v>
      </c>
    </row>
    <row r="31">
      <c r="A31" s="11" t="inlineStr">
        <is>
          <t>Equity risk premium %</t>
        </is>
      </c>
      <c r="C31" s="10" t="n">
        <v>0.05</v>
      </c>
    </row>
    <row r="32">
      <c r="A32" s="11" t="inlineStr">
        <is>
          <t>Beta</t>
        </is>
      </c>
      <c r="C32" s="13" t="n">
        <v>1.8</v>
      </c>
    </row>
    <row r="33">
      <c r="A33" s="11" t="inlineStr">
        <is>
          <t>Pre-tax cost of debt %</t>
        </is>
      </c>
      <c r="C33" s="10" t="n">
        <v>0.06</v>
      </c>
    </row>
    <row r="34">
      <c r="A34" s="11" t="inlineStr">
        <is>
          <t>Terminal growth rate %</t>
        </is>
      </c>
      <c r="C34" s="10" t="n">
        <v>0.035</v>
      </c>
    </row>
    <row r="36">
      <c r="A36" s="1" t="inlineStr">
        <is>
          <t>WACC (computed)</t>
        </is>
      </c>
    </row>
    <row r="37">
      <c r="A37" s="11" t="inlineStr">
        <is>
          <t>Cost of equity</t>
        </is>
      </c>
      <c r="C37" s="9">
        <f>C30+C32*C31</f>
        <v/>
      </c>
    </row>
    <row r="38">
      <c r="A38" s="11" t="inlineStr">
        <is>
          <t>After-tax cost of debt</t>
        </is>
      </c>
      <c r="C38" s="9">
        <f>C33*(1-J23)</f>
        <v/>
      </c>
    </row>
    <row r="39">
      <c r="A39" s="11" t="inlineStr">
        <is>
          <t>Market value of equity ($M)</t>
        </is>
      </c>
      <c r="C39" s="14">
        <f>C26*C27</f>
        <v/>
      </c>
    </row>
    <row r="40">
      <c r="A40" s="11" t="inlineStr">
        <is>
          <t>Net cash (debt) ($M)</t>
        </is>
      </c>
      <c r="C40" s="14">
        <f>C29-C28</f>
        <v/>
      </c>
    </row>
    <row r="41">
      <c r="A41" s="11" t="inlineStr">
        <is>
          <t>Equity weight</t>
        </is>
      </c>
      <c r="C41" s="9">
        <f>C39/(C39+C28)</f>
        <v/>
      </c>
    </row>
    <row r="42">
      <c r="A42" s="11" t="inlineStr">
        <is>
          <t>Debt weight</t>
        </is>
      </c>
      <c r="C42" s="9">
        <f>C28/(C39+C28)</f>
        <v/>
      </c>
    </row>
    <row r="43">
      <c r="A43" s="15" t="inlineStr">
        <is>
          <t>WACC</t>
        </is>
      </c>
      <c r="C43" s="16">
        <f>C41*C37+C42*C38</f>
        <v/>
      </c>
    </row>
  </sheetData>
  <mergeCells count="7">
    <mergeCell ref="A1:J1"/>
    <mergeCell ref="A17:J17"/>
    <mergeCell ref="A4:J4"/>
    <mergeCell ref="A25:D25"/>
    <mergeCell ref="A2:J2"/>
    <mergeCell ref="A36:D36"/>
    <mergeCell ref="A11:J1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>
      <c r="A1" s="1" t="inlineStr">
        <is>
          <t>INCOME STATEMENT ($M)</t>
        </is>
      </c>
    </row>
    <row r="4">
      <c r="A4" s="3" t="inlineStr">
        <is>
          <t>($ in millions)</t>
        </is>
      </c>
      <c r="C4" s="4" t="inlineStr">
        <is>
          <t>FY2024A</t>
        </is>
      </c>
      <c r="D4" s="4" t="inlineStr">
        <is>
          <t>FY2025A</t>
        </is>
      </c>
      <c r="E4" s="4" t="inlineStr">
        <is>
          <t>FY2026E</t>
        </is>
      </c>
      <c r="F4" s="4" t="inlineStr">
        <is>
          <t>FY2027E</t>
        </is>
      </c>
      <c r="G4" s="4" t="inlineStr">
        <is>
          <t>FY2028E</t>
        </is>
      </c>
      <c r="H4" s="4" t="inlineStr">
        <is>
          <t>FY2029E</t>
        </is>
      </c>
      <c r="I4" s="4" t="inlineStr">
        <is>
          <t>FY2030E</t>
        </is>
      </c>
      <c r="J4" s="4" t="inlineStr">
        <is>
          <t>FY2031E</t>
        </is>
      </c>
    </row>
    <row r="5">
      <c r="A5" s="7" t="inlineStr">
        <is>
          <t>Total revenue</t>
        </is>
      </c>
      <c r="C5" s="8">
        <f>Drivers!C8</f>
        <v/>
      </c>
      <c r="D5" s="8">
        <f>Drivers!D8</f>
        <v/>
      </c>
      <c r="E5" s="8">
        <f>Drivers!E8</f>
        <v/>
      </c>
      <c r="F5" s="8">
        <f>Drivers!F8</f>
        <v/>
      </c>
      <c r="G5" s="8">
        <f>Drivers!G8</f>
        <v/>
      </c>
      <c r="H5" s="8">
        <f>Drivers!H8</f>
        <v/>
      </c>
      <c r="I5" s="8">
        <f>Drivers!I8</f>
        <v/>
      </c>
      <c r="J5" s="8">
        <f>Drivers!J8</f>
        <v/>
      </c>
    </row>
    <row r="6">
      <c r="A6" s="5" t="inlineStr">
        <is>
          <t>Gross profit</t>
        </is>
      </c>
      <c r="C6" s="14">
        <f>C5*Drivers!C19</f>
        <v/>
      </c>
      <c r="D6" s="14">
        <f>D5*Drivers!D19</f>
        <v/>
      </c>
      <c r="E6" s="14">
        <f>E5*Drivers!E19</f>
        <v/>
      </c>
      <c r="F6" s="14">
        <f>F5*Drivers!F19</f>
        <v/>
      </c>
      <c r="G6" s="14">
        <f>G5*Drivers!G19</f>
        <v/>
      </c>
      <c r="H6" s="14">
        <f>H5*Drivers!H19</f>
        <v/>
      </c>
      <c r="I6" s="14">
        <f>I5*Drivers!I19</f>
        <v/>
      </c>
      <c r="J6" s="14">
        <f>J5*Drivers!J19</f>
        <v/>
      </c>
    </row>
    <row r="7">
      <c r="A7" s="5" t="inlineStr">
        <is>
          <t>Operating income (EBIT)</t>
        </is>
      </c>
      <c r="C7" s="14">
        <f>Drivers!C20*C5</f>
        <v/>
      </c>
      <c r="D7" s="14">
        <f>Drivers!D20*D5</f>
        <v/>
      </c>
      <c r="E7" s="14">
        <f>Drivers!E20*E5</f>
        <v/>
      </c>
      <c r="F7" s="14">
        <f>Drivers!F20*F5</f>
        <v/>
      </c>
      <c r="G7" s="14">
        <f>Drivers!G20*G5</f>
        <v/>
      </c>
      <c r="H7" s="14">
        <f>Drivers!H20*H5</f>
        <v/>
      </c>
      <c r="I7" s="14">
        <f>Drivers!I20*I5</f>
        <v/>
      </c>
      <c r="J7" s="14">
        <f>Drivers!J20*J5</f>
        <v/>
      </c>
    </row>
    <row r="8">
      <c r="A8" s="5" t="inlineStr">
        <is>
          <t>(+) D&amp;A</t>
        </is>
      </c>
      <c r="C8" s="14">
        <f>Drivers!C21</f>
        <v/>
      </c>
      <c r="D8" s="14">
        <f>Drivers!D21</f>
        <v/>
      </c>
      <c r="E8" s="14">
        <f>Drivers!E21</f>
        <v/>
      </c>
      <c r="F8" s="14">
        <f>Drivers!F21</f>
        <v/>
      </c>
      <c r="G8" s="14">
        <f>Drivers!G21</f>
        <v/>
      </c>
      <c r="H8" s="14">
        <f>Drivers!H21</f>
        <v/>
      </c>
      <c r="I8" s="14">
        <f>Drivers!I21</f>
        <v/>
      </c>
      <c r="J8" s="14">
        <f>Drivers!J21</f>
        <v/>
      </c>
    </row>
    <row r="9">
      <c r="A9" s="7" t="inlineStr">
        <is>
          <t>EBITDA</t>
        </is>
      </c>
      <c r="C9" s="8">
        <f>C7+C8</f>
        <v/>
      </c>
      <c r="D9" s="8">
        <f>D7+D8</f>
        <v/>
      </c>
      <c r="E9" s="8">
        <f>E7+E8</f>
        <v/>
      </c>
      <c r="F9" s="8">
        <f>F7+F8</f>
        <v/>
      </c>
      <c r="G9" s="8">
        <f>G7+G8</f>
        <v/>
      </c>
      <c r="H9" s="8">
        <f>H7+H8</f>
        <v/>
      </c>
      <c r="I9" s="8">
        <f>I7+I8</f>
        <v/>
      </c>
      <c r="J9" s="8">
        <f>J7+J8</f>
        <v/>
      </c>
    </row>
    <row r="10">
      <c r="A10" s="5" t="inlineStr">
        <is>
          <t>Pre-tax income (~ EBIT, modest int.)</t>
        </is>
      </c>
      <c r="C10" s="14">
        <f>C7</f>
        <v/>
      </c>
      <c r="D10" s="14">
        <f>D7</f>
        <v/>
      </c>
      <c r="E10" s="14">
        <f>E7</f>
        <v/>
      </c>
      <c r="F10" s="14">
        <f>F7</f>
        <v/>
      </c>
      <c r="G10" s="14">
        <f>G7</f>
        <v/>
      </c>
      <c r="H10" s="14">
        <f>H7</f>
        <v/>
      </c>
      <c r="I10" s="14">
        <f>I7</f>
        <v/>
      </c>
      <c r="J10" s="14">
        <f>J7</f>
        <v/>
      </c>
    </row>
    <row r="11">
      <c r="A11" s="5" t="inlineStr">
        <is>
          <t>(-) Income taxes</t>
        </is>
      </c>
      <c r="C11" s="14">
        <f>C10*Drivers!C23</f>
        <v/>
      </c>
      <c r="D11" s="14">
        <f>D10*Drivers!D23</f>
        <v/>
      </c>
      <c r="E11" s="14">
        <f>E10*Drivers!E23</f>
        <v/>
      </c>
      <c r="F11" s="14">
        <f>F10*Drivers!F23</f>
        <v/>
      </c>
      <c r="G11" s="14">
        <f>G10*Drivers!G23</f>
        <v/>
      </c>
      <c r="H11" s="14">
        <f>H10*Drivers!H23</f>
        <v/>
      </c>
      <c r="I11" s="14">
        <f>I10*Drivers!I23</f>
        <v/>
      </c>
      <c r="J11" s="14">
        <f>J10*Drivers!J23</f>
        <v/>
      </c>
    </row>
    <row r="12">
      <c r="A12" s="7" t="inlineStr">
        <is>
          <t>Net income (GAAP)</t>
        </is>
      </c>
      <c r="C12" s="8">
        <f>C10-C11</f>
        <v/>
      </c>
      <c r="D12" s="8">
        <f>D10-D11</f>
        <v/>
      </c>
      <c r="E12" s="8">
        <f>E10-E11</f>
        <v/>
      </c>
      <c r="F12" s="8">
        <f>F10-F11</f>
        <v/>
      </c>
      <c r="G12" s="8">
        <f>G10-G11</f>
        <v/>
      </c>
      <c r="H12" s="8">
        <f>H10-H11</f>
        <v/>
      </c>
      <c r="I12" s="8">
        <f>I10-I11</f>
        <v/>
      </c>
      <c r="J12" s="8">
        <f>J10-J11</f>
        <v/>
      </c>
    </row>
    <row r="13">
      <c r="A13" s="5" t="inlineStr">
        <is>
          <t>Net margin %</t>
        </is>
      </c>
      <c r="C13" s="9">
        <f>C12/C5</f>
        <v/>
      </c>
      <c r="D13" s="9">
        <f>D12/D5</f>
        <v/>
      </c>
      <c r="E13" s="9">
        <f>E12/E5</f>
        <v/>
      </c>
      <c r="F13" s="9">
        <f>F12/F5</f>
        <v/>
      </c>
      <c r="G13" s="9">
        <f>G12/G5</f>
        <v/>
      </c>
      <c r="H13" s="9">
        <f>H12/H5</f>
        <v/>
      </c>
      <c r="I13" s="9">
        <f>I12/I5</f>
        <v/>
      </c>
      <c r="J13" s="9">
        <f>J12/J5</f>
        <v/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>
      <c r="A1" s="1" t="inlineStr">
        <is>
          <t>BALANCE SHEET (simplified, $M)</t>
        </is>
      </c>
    </row>
    <row r="4">
      <c r="A4" s="3" t="inlineStr">
        <is>
          <t>($ in millions)</t>
        </is>
      </c>
      <c r="C4" s="4" t="inlineStr">
        <is>
          <t>FY2024A</t>
        </is>
      </c>
      <c r="D4" s="4" t="inlineStr">
        <is>
          <t>FY2025A</t>
        </is>
      </c>
      <c r="E4" s="4" t="inlineStr">
        <is>
          <t>FY2026E</t>
        </is>
      </c>
      <c r="F4" s="4" t="inlineStr">
        <is>
          <t>FY2027E</t>
        </is>
      </c>
      <c r="G4" s="4" t="inlineStr">
        <is>
          <t>FY2028E</t>
        </is>
      </c>
      <c r="H4" s="4" t="inlineStr">
        <is>
          <t>FY2029E</t>
        </is>
      </c>
      <c r="I4" s="4" t="inlineStr">
        <is>
          <t>FY2030E</t>
        </is>
      </c>
      <c r="J4" s="4" t="inlineStr">
        <is>
          <t>FY2031E</t>
        </is>
      </c>
    </row>
    <row r="5">
      <c r="A5" s="5" t="inlineStr">
        <is>
          <t>Cash + marketable securities</t>
        </is>
      </c>
      <c r="C5" s="6" t="n">
        <v>425</v>
      </c>
      <c r="D5" s="6" t="n">
        <v>1090</v>
      </c>
      <c r="E5" s="6" t="n">
        <v>1480</v>
      </c>
      <c r="F5" s="14">
        <f>E5+'Cash Flow'!F11+F8</f>
        <v/>
      </c>
      <c r="G5" s="14">
        <f>F5+'Cash Flow'!G11+G8</f>
        <v/>
      </c>
      <c r="H5" s="14">
        <f>G5+'Cash Flow'!H11+H8</f>
        <v/>
      </c>
      <c r="I5" s="14">
        <f>H5+'Cash Flow'!I11+I8</f>
        <v/>
      </c>
      <c r="J5" s="14">
        <f>I5+'Cash Flow'!J11+J8</f>
        <v/>
      </c>
    </row>
    <row r="6">
      <c r="A6" s="5" t="inlineStr">
        <is>
          <t>Backlog (memo, $M)</t>
        </is>
      </c>
      <c r="C6" s="6" t="n">
        <v>1070</v>
      </c>
      <c r="D6" s="6" t="n">
        <v>1850</v>
      </c>
      <c r="E6" s="6" t="n">
        <v>2220</v>
      </c>
    </row>
    <row r="7">
      <c r="A7" s="5" t="inlineStr">
        <is>
          <t>Total debt (incl. converts)</t>
        </is>
      </c>
      <c r="C7" s="6" t="n">
        <v>360</v>
      </c>
      <c r="D7" s="6" t="n">
        <v>100</v>
      </c>
      <c r="E7" s="6" t="n">
        <v>38</v>
      </c>
      <c r="F7" s="14">
        <f>38</f>
        <v/>
      </c>
      <c r="G7" s="14">
        <f>38</f>
        <v/>
      </c>
      <c r="H7" s="14">
        <f>38</f>
        <v/>
      </c>
      <c r="I7" s="14">
        <f>38</f>
        <v/>
      </c>
      <c r="J7" s="14">
        <f>38</f>
        <v/>
      </c>
    </row>
    <row r="8">
      <c r="A8" s="5" t="inlineStr">
        <is>
          <t>Equity issuance (ATM, $M)</t>
        </is>
      </c>
      <c r="F8" s="6" t="n">
        <v>0</v>
      </c>
      <c r="G8" s="6" t="n">
        <v>200</v>
      </c>
      <c r="H8" s="6" t="n">
        <v>0</v>
      </c>
      <c r="I8" s="6" t="n">
        <v>0</v>
      </c>
      <c r="J8" s="6" t="n">
        <v>0</v>
      </c>
    </row>
  </sheetData>
  <mergeCells count="1">
    <mergeCell ref="A1:J1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>
      <c r="A1" s="1" t="inlineStr">
        <is>
          <t>CASH FLOW &amp; FCF ($M)</t>
        </is>
      </c>
    </row>
    <row r="4">
      <c r="A4" s="3" t="inlineStr">
        <is>
          <t>($ in millions)</t>
        </is>
      </c>
      <c r="C4" s="4" t="inlineStr">
        <is>
          <t>FY2024A</t>
        </is>
      </c>
      <c r="D4" s="4" t="inlineStr">
        <is>
          <t>FY2025A</t>
        </is>
      </c>
      <c r="E4" s="4" t="inlineStr">
        <is>
          <t>FY2026E</t>
        </is>
      </c>
      <c r="F4" s="4" t="inlineStr">
        <is>
          <t>FY2027E</t>
        </is>
      </c>
      <c r="G4" s="4" t="inlineStr">
        <is>
          <t>FY2028E</t>
        </is>
      </c>
      <c r="H4" s="4" t="inlineStr">
        <is>
          <t>FY2029E</t>
        </is>
      </c>
      <c r="I4" s="4" t="inlineStr">
        <is>
          <t>FY2030E</t>
        </is>
      </c>
      <c r="J4" s="4" t="inlineStr">
        <is>
          <t>FY2031E</t>
        </is>
      </c>
    </row>
    <row r="5">
      <c r="A5" s="5" t="inlineStr">
        <is>
          <t>EBIT</t>
        </is>
      </c>
      <c r="C5" s="14">
        <f>'Income Statement'!C7</f>
        <v/>
      </c>
      <c r="D5" s="14">
        <f>'Income Statement'!D7</f>
        <v/>
      </c>
      <c r="E5" s="14">
        <f>'Income Statement'!E7</f>
        <v/>
      </c>
      <c r="F5" s="14">
        <f>'Income Statement'!F7</f>
        <v/>
      </c>
      <c r="G5" s="14">
        <f>'Income Statement'!G7</f>
        <v/>
      </c>
      <c r="H5" s="14">
        <f>'Income Statement'!H7</f>
        <v/>
      </c>
      <c r="I5" s="14">
        <f>'Income Statement'!I7</f>
        <v/>
      </c>
      <c r="J5" s="14">
        <f>'Income Statement'!J7</f>
        <v/>
      </c>
    </row>
    <row r="6">
      <c r="A6" s="5" t="inlineStr">
        <is>
          <t>(-) Cash taxes on EBIT</t>
        </is>
      </c>
      <c r="C6" s="14">
        <f>MAX(C5,0)*Drivers!C23</f>
        <v/>
      </c>
      <c r="D6" s="14">
        <f>MAX(D5,0)*Drivers!D23</f>
        <v/>
      </c>
      <c r="E6" s="14">
        <f>MAX(E5,0)*Drivers!E23</f>
        <v/>
      </c>
      <c r="F6" s="14">
        <f>MAX(F5,0)*Drivers!F23</f>
        <v/>
      </c>
      <c r="G6" s="14">
        <f>MAX(G5,0)*Drivers!G23</f>
        <v/>
      </c>
      <c r="H6" s="14">
        <f>MAX(H5,0)*Drivers!H23</f>
        <v/>
      </c>
      <c r="I6" s="14">
        <f>MAX(I5,0)*Drivers!I23</f>
        <v/>
      </c>
      <c r="J6" s="14">
        <f>MAX(J5,0)*Drivers!J23</f>
        <v/>
      </c>
    </row>
    <row r="7">
      <c r="A7" s="5" t="inlineStr">
        <is>
          <t>NOPAT</t>
        </is>
      </c>
      <c r="C7" s="8">
        <f>C5-C6</f>
        <v/>
      </c>
      <c r="D7" s="8">
        <f>D5-D6</f>
        <v/>
      </c>
      <c r="E7" s="8">
        <f>E5-E6</f>
        <v/>
      </c>
      <c r="F7" s="8">
        <f>F5-F6</f>
        <v/>
      </c>
      <c r="G7" s="8">
        <f>G5-G6</f>
        <v/>
      </c>
      <c r="H7" s="8">
        <f>H5-H6</f>
        <v/>
      </c>
      <c r="I7" s="8">
        <f>I5-I6</f>
        <v/>
      </c>
      <c r="J7" s="8">
        <f>J5-J6</f>
        <v/>
      </c>
    </row>
    <row r="8">
      <c r="A8" s="5" t="inlineStr">
        <is>
          <t>(+) D&amp;A</t>
        </is>
      </c>
      <c r="C8" s="14">
        <f>Drivers!C21</f>
        <v/>
      </c>
      <c r="D8" s="14">
        <f>Drivers!D21</f>
        <v/>
      </c>
      <c r="E8" s="14">
        <f>Drivers!E21</f>
        <v/>
      </c>
      <c r="F8" s="14">
        <f>Drivers!F21</f>
        <v/>
      </c>
      <c r="G8" s="14">
        <f>Drivers!G21</f>
        <v/>
      </c>
      <c r="H8" s="14">
        <f>Drivers!H21</f>
        <v/>
      </c>
      <c r="I8" s="14">
        <f>Drivers!I21</f>
        <v/>
      </c>
      <c r="J8" s="14">
        <f>Drivers!J21</f>
        <v/>
      </c>
    </row>
    <row r="9">
      <c r="A9" s="5" t="inlineStr">
        <is>
          <t>(-) Capex</t>
        </is>
      </c>
      <c r="C9" s="14">
        <f>Drivers!C22</f>
        <v/>
      </c>
      <c r="D9" s="14">
        <f>Drivers!D22</f>
        <v/>
      </c>
      <c r="E9" s="14">
        <f>Drivers!E22</f>
        <v/>
      </c>
      <c r="F9" s="14">
        <f>Drivers!F22</f>
        <v/>
      </c>
      <c r="G9" s="14">
        <f>Drivers!G22</f>
        <v/>
      </c>
      <c r="H9" s="14">
        <f>Drivers!H22</f>
        <v/>
      </c>
      <c r="I9" s="14">
        <f>Drivers!I22</f>
        <v/>
      </c>
      <c r="J9" s="14">
        <f>Drivers!J22</f>
        <v/>
      </c>
    </row>
    <row r="10">
      <c r="A10" s="5" t="inlineStr">
        <is>
          <t>(-) Increase in NWC (assumed 0)</t>
        </is>
      </c>
      <c r="C10" s="14">
        <f>0</f>
        <v/>
      </c>
      <c r="D10" s="14">
        <f>0</f>
        <v/>
      </c>
      <c r="E10" s="14">
        <f>0</f>
        <v/>
      </c>
      <c r="F10" s="14">
        <f>0</f>
        <v/>
      </c>
      <c r="G10" s="14">
        <f>0</f>
        <v/>
      </c>
      <c r="H10" s="14">
        <f>0</f>
        <v/>
      </c>
      <c r="I10" s="14">
        <f>0</f>
        <v/>
      </c>
      <c r="J10" s="14">
        <f>0</f>
        <v/>
      </c>
    </row>
    <row r="11">
      <c r="A11" s="7" t="inlineStr">
        <is>
          <t>Unlevered free cash flow</t>
        </is>
      </c>
      <c r="C11" s="17">
        <f>C7+C8-C9-C10</f>
        <v/>
      </c>
      <c r="D11" s="17">
        <f>D7+D8-D9-D10</f>
        <v/>
      </c>
      <c r="E11" s="17">
        <f>E7+E8-E9-E10</f>
        <v/>
      </c>
      <c r="F11" s="17">
        <f>F7+F8-F9-F10</f>
        <v/>
      </c>
      <c r="G11" s="17">
        <f>G7+G8-G9-G10</f>
        <v/>
      </c>
      <c r="H11" s="17">
        <f>H7+H8-H9-H10</f>
        <v/>
      </c>
      <c r="I11" s="17">
        <f>I7+I8-I9-I10</f>
        <v/>
      </c>
      <c r="J11" s="17">
        <f>J7+J8-J9-J10</f>
        <v/>
      </c>
    </row>
    <row r="14">
      <c r="A14" s="5" t="inlineStr">
        <is>
          <t>Unlevered FCF margin %</t>
        </is>
      </c>
      <c r="C14" s="9">
        <f>C11/Drivers!C8</f>
        <v/>
      </c>
      <c r="D14" s="9">
        <f>D11/Drivers!D8</f>
        <v/>
      </c>
      <c r="E14" s="9">
        <f>E11/Drivers!E8</f>
        <v/>
      </c>
      <c r="F14" s="9">
        <f>F11/Drivers!F8</f>
        <v/>
      </c>
      <c r="G14" s="9">
        <f>G11/Drivers!G8</f>
        <v/>
      </c>
      <c r="H14" s="9">
        <f>H11/Drivers!H8</f>
        <v/>
      </c>
      <c r="I14" s="9">
        <f>I11/Drivers!I8</f>
        <v/>
      </c>
      <c r="J14" s="9">
        <f>J11/Drivers!J8</f>
        <v/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0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DISCOUNTED CASH FLOW VALUATION (small-cap growth; wide bands)</t>
        </is>
      </c>
    </row>
    <row r="4">
      <c r="A4" s="18" t="inlineStr">
        <is>
          <t>Projection year</t>
        </is>
      </c>
      <c r="B4" s="4" t="inlineStr">
        <is>
          <t>FY2027E</t>
        </is>
      </c>
      <c r="C4" s="4" t="inlineStr">
        <is>
          <t>FY2028E</t>
        </is>
      </c>
      <c r="D4" s="4" t="inlineStr">
        <is>
          <t>FY2029E</t>
        </is>
      </c>
      <c r="E4" s="4" t="inlineStr">
        <is>
          <t>FY2030E</t>
        </is>
      </c>
      <c r="F4" s="4" t="inlineStr">
        <is>
          <t>FY2031E</t>
        </is>
      </c>
    </row>
    <row r="5">
      <c r="A5" s="11" t="inlineStr">
        <is>
          <t>Period (n)</t>
        </is>
      </c>
      <c r="B5" s="14">
        <f>1</f>
        <v/>
      </c>
      <c r="C5" s="14">
        <f>2</f>
        <v/>
      </c>
      <c r="D5" s="14">
        <f>3</f>
        <v/>
      </c>
      <c r="E5" s="14">
        <f>4</f>
        <v/>
      </c>
      <c r="F5" s="14">
        <f>5</f>
        <v/>
      </c>
    </row>
    <row r="6">
      <c r="A6" s="11" t="inlineStr">
        <is>
          <t>Unlevered FCF</t>
        </is>
      </c>
      <c r="B6" s="14">
        <f>'Cash Flow'!F11</f>
        <v/>
      </c>
      <c r="C6" s="14">
        <f>'Cash Flow'!G11</f>
        <v/>
      </c>
      <c r="D6" s="14">
        <f>'Cash Flow'!H11</f>
        <v/>
      </c>
      <c r="E6" s="14">
        <f>'Cash Flow'!I11</f>
        <v/>
      </c>
      <c r="F6" s="14">
        <f>'Cash Flow'!J11</f>
        <v/>
      </c>
    </row>
    <row r="7">
      <c r="A7" s="11" t="inlineStr">
        <is>
          <t>Discount factor @ WACC</t>
        </is>
      </c>
      <c r="B7" s="19">
        <f>1/(1+Drivers!C43)^B5</f>
        <v/>
      </c>
      <c r="C7" s="19">
        <f>1/(1+Drivers!C43)^C5</f>
        <v/>
      </c>
      <c r="D7" s="19">
        <f>1/(1+Drivers!C43)^D5</f>
        <v/>
      </c>
      <c r="E7" s="19">
        <f>1/(1+Drivers!C43)^E5</f>
        <v/>
      </c>
      <c r="F7" s="19">
        <f>1/(1+Drivers!C43)^F5</f>
        <v/>
      </c>
    </row>
    <row r="8">
      <c r="A8" s="15" t="inlineStr">
        <is>
          <t>PV of unlevered FCF</t>
        </is>
      </c>
      <c r="B8" s="14">
        <f>B6*B7</f>
        <v/>
      </c>
      <c r="C8" s="14">
        <f>C6*C7</f>
        <v/>
      </c>
      <c r="D8" s="14">
        <f>D6*D7</f>
        <v/>
      </c>
      <c r="E8" s="14">
        <f>E6*E7</f>
        <v/>
      </c>
      <c r="F8" s="14">
        <f>F6*F7</f>
        <v/>
      </c>
    </row>
    <row r="10">
      <c r="A10" s="11" t="inlineStr">
        <is>
          <t>Sum of PV of explicit FCF (FY27-31)</t>
        </is>
      </c>
      <c r="C10" s="14">
        <f>SUM(B8:F8)</f>
        <v/>
      </c>
    </row>
    <row r="11">
      <c r="A11" s="11" t="inlineStr">
        <is>
          <t>Terminal-year FCF (FY2031)</t>
        </is>
      </c>
      <c r="C11" s="14">
        <f>F6</f>
        <v/>
      </c>
    </row>
    <row r="12">
      <c r="A12" s="11" t="inlineStr">
        <is>
          <t>Terminal value (Gordon)</t>
        </is>
      </c>
      <c r="C12" s="14">
        <f>F6*(1+Drivers!C34)/(Drivers!C43-Drivers!C34)</f>
        <v/>
      </c>
    </row>
    <row r="13">
      <c r="A13" s="11" t="inlineStr">
        <is>
          <t>PV of terminal value</t>
        </is>
      </c>
      <c r="C13" s="14">
        <f>C12*F7</f>
        <v/>
      </c>
    </row>
    <row r="14">
      <c r="A14" s="15" t="inlineStr">
        <is>
          <t>Enterprise value</t>
        </is>
      </c>
      <c r="C14" s="8">
        <f>C10+C13</f>
        <v/>
      </c>
    </row>
    <row r="15">
      <c r="A15" s="11" t="inlineStr">
        <is>
          <t>(+) Net cash</t>
        </is>
      </c>
      <c r="C15" s="14">
        <f>Drivers!C29-Drivers!C28</f>
        <v/>
      </c>
    </row>
    <row r="16">
      <c r="A16" s="11" t="inlineStr">
        <is>
          <t>Equity value</t>
        </is>
      </c>
      <c r="C16" s="14">
        <f>C14+C15</f>
        <v/>
      </c>
    </row>
    <row r="17">
      <c r="A17" s="11" t="inlineStr">
        <is>
          <t>Diluted shares (M)</t>
        </is>
      </c>
      <c r="C17" s="14">
        <f>Drivers!C27</f>
        <v/>
      </c>
    </row>
    <row r="18">
      <c r="A18" s="15" t="inlineStr">
        <is>
          <t>Implied value per share ($)</t>
        </is>
      </c>
      <c r="C18" s="20">
        <f>C16/C17</f>
        <v/>
      </c>
    </row>
    <row r="19">
      <c r="A19" s="11" t="inlineStr">
        <is>
          <t>Current share price ($)</t>
        </is>
      </c>
      <c r="C19" s="21">
        <f>Drivers!C26</f>
        <v/>
      </c>
    </row>
    <row r="20">
      <c r="A20" s="11" t="inlineStr">
        <is>
          <t>Upside / (downside) to current</t>
        </is>
      </c>
      <c r="C20" s="9">
        <f>C18/C19-1</f>
        <v/>
      </c>
    </row>
    <row r="21">
      <c r="A21" s="11" t="inlineStr">
        <is>
          <t>TV as % of enterprise value</t>
        </is>
      </c>
      <c r="C21" s="9">
        <f>C13/C14</f>
        <v/>
      </c>
    </row>
    <row r="22">
      <c r="A22" s="1" t="inlineStr">
        <is>
          <t>SENSITIVITY — Implied $/share: WACC (down) x Terminal growth (across)</t>
        </is>
      </c>
    </row>
    <row r="23">
      <c r="B23" s="3" t="inlineStr">
        <is>
          <t>Terminal g →</t>
        </is>
      </c>
      <c r="C23" s="22" t="n">
        <v>0.025</v>
      </c>
      <c r="D23" s="22" t="n">
        <v>0.03</v>
      </c>
      <c r="E23" s="22" t="n">
        <v>0.035</v>
      </c>
      <c r="F23" s="22" t="n">
        <v>0.04</v>
      </c>
      <c r="G23" s="22" t="n">
        <v>0.045</v>
      </c>
    </row>
    <row r="24">
      <c r="A24" s="3" t="inlineStr">
        <is>
          <t>WACC ↓</t>
        </is>
      </c>
      <c r="B24" s="22" t="n">
        <v>0.11</v>
      </c>
      <c r="C24" s="21">
        <f>(($B$6/(1+$B$24)^1+$C$6/(1+$B$24)^2+$D$6/(1+$B$24)^3+$E$6/(1+$B$24)^4+$F$6/(1+$B$24)^5)+(($F$6*(1+C$23)/($B$24-C$23))/(1+$B$24)^5)+Drivers!$C$29-Drivers!$C$28)/Drivers!$C$27</f>
        <v/>
      </c>
      <c r="D24" s="21">
        <f>(($B$6/(1+$B$24)^1+$C$6/(1+$B$24)^2+$D$6/(1+$B$24)^3+$E$6/(1+$B$24)^4+$F$6/(1+$B$24)^5)+(($F$6*(1+D$23)/($B$24-D$23))/(1+$B$24)^5)+Drivers!$C$29-Drivers!$C$28)/Drivers!$C$27</f>
        <v/>
      </c>
      <c r="E24" s="21">
        <f>(($B$6/(1+$B$24)^1+$C$6/(1+$B$24)^2+$D$6/(1+$B$24)^3+$E$6/(1+$B$24)^4+$F$6/(1+$B$24)^5)+(($F$6*(1+E$23)/($B$24-E$23))/(1+$B$24)^5)+Drivers!$C$29-Drivers!$C$28)/Drivers!$C$27</f>
        <v/>
      </c>
      <c r="F24" s="21">
        <f>(($B$6/(1+$B$24)^1+$C$6/(1+$B$24)^2+$D$6/(1+$B$24)^3+$E$6/(1+$B$24)^4+$F$6/(1+$B$24)^5)+(($F$6*(1+F$23)/($B$24-F$23))/(1+$B$24)^5)+Drivers!$C$29-Drivers!$C$28)/Drivers!$C$27</f>
        <v/>
      </c>
      <c r="G24" s="21">
        <f>(($B$6/(1+$B$24)^1+$C$6/(1+$B$24)^2+$D$6/(1+$B$24)^3+$E$6/(1+$B$24)^4+$F$6/(1+$B$24)^5)+(($F$6*(1+G$23)/($B$24-G$23))/(1+$B$24)^5)+Drivers!$C$29-Drivers!$C$28)/Drivers!$C$27</f>
        <v/>
      </c>
    </row>
    <row r="25">
      <c r="B25" s="22" t="n">
        <v>0.12</v>
      </c>
      <c r="C25" s="21">
        <f>(($B$6/(1+$B$25)^1+$C$6/(1+$B$25)^2+$D$6/(1+$B$25)^3+$E$6/(1+$B$25)^4+$F$6/(1+$B$25)^5)+(($F$6*(1+C$23)/($B$25-C$23))/(1+$B$25)^5)+Drivers!$C$29-Drivers!$C$28)/Drivers!$C$27</f>
        <v/>
      </c>
      <c r="D25" s="21">
        <f>(($B$6/(1+$B$25)^1+$C$6/(1+$B$25)^2+$D$6/(1+$B$25)^3+$E$6/(1+$B$25)^4+$F$6/(1+$B$25)^5)+(($F$6*(1+D$23)/($B$25-D$23))/(1+$B$25)^5)+Drivers!$C$29-Drivers!$C$28)/Drivers!$C$27</f>
        <v/>
      </c>
      <c r="E25" s="21">
        <f>(($B$6/(1+$B$25)^1+$C$6/(1+$B$25)^2+$D$6/(1+$B$25)^3+$E$6/(1+$B$25)^4+$F$6/(1+$B$25)^5)+(($F$6*(1+E$23)/($B$25-E$23))/(1+$B$25)^5)+Drivers!$C$29-Drivers!$C$28)/Drivers!$C$27</f>
        <v/>
      </c>
      <c r="F25" s="21">
        <f>(($B$6/(1+$B$25)^1+$C$6/(1+$B$25)^2+$D$6/(1+$B$25)^3+$E$6/(1+$B$25)^4+$F$6/(1+$B$25)^5)+(($F$6*(1+F$23)/($B$25-F$23))/(1+$B$25)^5)+Drivers!$C$29-Drivers!$C$28)/Drivers!$C$27</f>
        <v/>
      </c>
      <c r="G25" s="21">
        <f>(($B$6/(1+$B$25)^1+$C$6/(1+$B$25)^2+$D$6/(1+$B$25)^3+$E$6/(1+$B$25)^4+$F$6/(1+$B$25)^5)+(($F$6*(1+G$23)/($B$25-G$23))/(1+$B$25)^5)+Drivers!$C$29-Drivers!$C$28)/Drivers!$C$27</f>
        <v/>
      </c>
    </row>
    <row r="26">
      <c r="B26" s="22" t="n">
        <v>0.13</v>
      </c>
      <c r="C26" s="21">
        <f>(($B$6/(1+$B$26)^1+$C$6/(1+$B$26)^2+$D$6/(1+$B$26)^3+$E$6/(1+$B$26)^4+$F$6/(1+$B$26)^5)+(($F$6*(1+C$23)/($B$26-C$23))/(1+$B$26)^5)+Drivers!$C$29-Drivers!$C$28)/Drivers!$C$27</f>
        <v/>
      </c>
      <c r="D26" s="21">
        <f>(($B$6/(1+$B$26)^1+$C$6/(1+$B$26)^2+$D$6/(1+$B$26)^3+$E$6/(1+$B$26)^4+$F$6/(1+$B$26)^5)+(($F$6*(1+D$23)/($B$26-D$23))/(1+$B$26)^5)+Drivers!$C$29-Drivers!$C$28)/Drivers!$C$27</f>
        <v/>
      </c>
      <c r="E26" s="23">
        <f>(($B$6/(1+$B$26)^1+$C$6/(1+$B$26)^2+$D$6/(1+$B$26)^3+$E$6/(1+$B$26)^4+$F$6/(1+$B$26)^5)+(($F$6*(1+E$23)/($B$26-E$23))/(1+$B$26)^5)+Drivers!$C$29-Drivers!$C$28)/Drivers!$C$27</f>
        <v/>
      </c>
      <c r="F26" s="21">
        <f>(($B$6/(1+$B$26)^1+$C$6/(1+$B$26)^2+$D$6/(1+$B$26)^3+$E$6/(1+$B$26)^4+$F$6/(1+$B$26)^5)+(($F$6*(1+F$23)/($B$26-F$23))/(1+$B$26)^5)+Drivers!$C$29-Drivers!$C$28)/Drivers!$C$27</f>
        <v/>
      </c>
      <c r="G26" s="21">
        <f>(($B$6/(1+$B$26)^1+$C$6/(1+$B$26)^2+$D$6/(1+$B$26)^3+$E$6/(1+$B$26)^4+$F$6/(1+$B$26)^5)+(($F$6*(1+G$23)/($B$26-G$23))/(1+$B$26)^5)+Drivers!$C$29-Drivers!$C$28)/Drivers!$C$27</f>
        <v/>
      </c>
    </row>
    <row r="27">
      <c r="B27" s="22" t="n">
        <v>0.14</v>
      </c>
      <c r="C27" s="21">
        <f>(($B$6/(1+$B$27)^1+$C$6/(1+$B$27)^2+$D$6/(1+$B$27)^3+$E$6/(1+$B$27)^4+$F$6/(1+$B$27)^5)+(($F$6*(1+C$23)/($B$27-C$23))/(1+$B$27)^5)+Drivers!$C$29-Drivers!$C$28)/Drivers!$C$27</f>
        <v/>
      </c>
      <c r="D27" s="21">
        <f>(($B$6/(1+$B$27)^1+$C$6/(1+$B$27)^2+$D$6/(1+$B$27)^3+$E$6/(1+$B$27)^4+$F$6/(1+$B$27)^5)+(($F$6*(1+D$23)/($B$27-D$23))/(1+$B$27)^5)+Drivers!$C$29-Drivers!$C$28)/Drivers!$C$27</f>
        <v/>
      </c>
      <c r="E27" s="21">
        <f>(($B$6/(1+$B$27)^1+$C$6/(1+$B$27)^2+$D$6/(1+$B$27)^3+$E$6/(1+$B$27)^4+$F$6/(1+$B$27)^5)+(($F$6*(1+E$23)/($B$27-E$23))/(1+$B$27)^5)+Drivers!$C$29-Drivers!$C$28)/Drivers!$C$27</f>
        <v/>
      </c>
      <c r="F27" s="21">
        <f>(($B$6/(1+$B$27)^1+$C$6/(1+$B$27)^2+$D$6/(1+$B$27)^3+$E$6/(1+$B$27)^4+$F$6/(1+$B$27)^5)+(($F$6*(1+F$23)/($B$27-F$23))/(1+$B$27)^5)+Drivers!$C$29-Drivers!$C$28)/Drivers!$C$27</f>
        <v/>
      </c>
      <c r="G27" s="21">
        <f>(($B$6/(1+$B$27)^1+$C$6/(1+$B$27)^2+$D$6/(1+$B$27)^3+$E$6/(1+$B$27)^4+$F$6/(1+$B$27)^5)+(($F$6*(1+G$23)/($B$27-G$23))/(1+$B$27)^5)+Drivers!$C$29-Drivers!$C$28)/Drivers!$C$27</f>
        <v/>
      </c>
    </row>
    <row r="28">
      <c r="B28" s="22" t="n">
        <v>0.15</v>
      </c>
      <c r="C28" s="21">
        <f>(($B$6/(1+$B$28)^1+$C$6/(1+$B$28)^2+$D$6/(1+$B$28)^3+$E$6/(1+$B$28)^4+$F$6/(1+$B$28)^5)+(($F$6*(1+C$23)/($B$28-C$23))/(1+$B$28)^5)+Drivers!$C$29-Drivers!$C$28)/Drivers!$C$27</f>
        <v/>
      </c>
      <c r="D28" s="21">
        <f>(($B$6/(1+$B$28)^1+$C$6/(1+$B$28)^2+$D$6/(1+$B$28)^3+$E$6/(1+$B$28)^4+$F$6/(1+$B$28)^5)+(($F$6*(1+D$23)/($B$28-D$23))/(1+$B$28)^5)+Drivers!$C$29-Drivers!$C$28)/Drivers!$C$27</f>
        <v/>
      </c>
      <c r="E28" s="21">
        <f>(($B$6/(1+$B$28)^1+$C$6/(1+$B$28)^2+$D$6/(1+$B$28)^3+$E$6/(1+$B$28)^4+$F$6/(1+$B$28)^5)+(($F$6*(1+E$23)/($B$28-E$23))/(1+$B$28)^5)+Drivers!$C$29-Drivers!$C$28)/Drivers!$C$27</f>
        <v/>
      </c>
      <c r="F28" s="21">
        <f>(($B$6/(1+$B$28)^1+$C$6/(1+$B$28)^2+$D$6/(1+$B$28)^3+$E$6/(1+$B$28)^4+$F$6/(1+$B$28)^5)+(($F$6*(1+F$23)/($B$28-F$23))/(1+$B$28)^5)+Drivers!$C$29-Drivers!$C$28)/Drivers!$C$27</f>
        <v/>
      </c>
      <c r="G28" s="21">
        <f>(($B$6/(1+$B$28)^1+$C$6/(1+$B$28)^2+$D$6/(1+$B$28)^3+$E$6/(1+$B$28)^4+$F$6/(1+$B$28)^5)+(($F$6*(1+G$23)/($B$28-G$23))/(1+$B$28)^5)+Drivers!$C$29-Drivers!$C$28)/Drivers!$C$27</f>
        <v/>
      </c>
    </row>
    <row r="30">
      <c r="A30" s="3" t="inlineStr">
        <is>
          <t>Center cell (WACC 13.0% / g 3.5%) = base case. Wider WACC band reflects small-cap + pre-profit + execution risk.</t>
        </is>
      </c>
    </row>
  </sheetData>
  <mergeCells count="3">
    <mergeCell ref="A30:H30"/>
    <mergeCell ref="A22:H2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RKLB MODEL — METHODOLOGY &amp; CAVEATS</t>
        </is>
      </c>
    </row>
    <row r="3">
      <c r="A3" s="18" t="inlineStr">
        <is>
          <t>Methodology — small-cap-growth adaptation</t>
        </is>
      </c>
    </row>
    <row r="4" ht="16" customHeight="1">
      <c r="A4" s="24" t="inlineStr">
        <is>
          <t>Standard DCF mechanics, but with wider WACC range (11-15%) and a Neutron-conditional FCF profile.</t>
        </is>
      </c>
    </row>
    <row r="5" ht="16" customHeight="1">
      <c r="A5" s="24" t="inlineStr">
        <is>
          <t>Revenue split: Launch Services (Electron + Neutron) + Space Systems (incl. Mynaric optical comms).</t>
        </is>
      </c>
    </row>
    <row r="6" ht="16" customHeight="1">
      <c r="A6" s="24" t="inlineStr">
        <is>
          <t>Pre-profit through FY27; first profitable year FY28 in base case (Neutron 12 launches @ ~$53M).</t>
        </is>
      </c>
    </row>
    <row r="7" ht="16" customHeight="1">
      <c r="A7" s="24" t="inlineStr">
        <is>
          <t>Wide sensitivity bands reflect single-product (Neutron) execution risk + pre-profit base.</t>
        </is>
      </c>
    </row>
    <row r="9">
      <c r="A9" s="18" t="inlineStr">
        <is>
          <t>Base case stance</t>
        </is>
      </c>
    </row>
    <row r="10" ht="16" customHeight="1">
      <c r="A10" s="24" t="inlineStr">
        <is>
          <t>Revenue: $602M (FY25 actual) -&gt; $870M (FY26) -&gt; $1.65B (FY27 first Neutron commercial yr) -&gt; $4.95B (FY31)</t>
        </is>
      </c>
    </row>
    <row r="11" ht="16" customHeight="1">
      <c r="A11" s="24" t="inlineStr">
        <is>
          <t>Op margin: -38% (FY25) -&gt; -20% (FY26) -&gt; -5% (FY27) -&gt; +5% (FY28) -&gt; +15% (FY31)</t>
        </is>
      </c>
    </row>
    <row r="12" ht="16" customHeight="1">
      <c r="A12" s="24" t="inlineStr">
        <is>
          <t>Neutron: Q4 2026 first flight (expendable), 5 in FY27, 18-20/yr at mature cadence</t>
        </is>
      </c>
    </row>
    <row r="13" ht="16" customHeight="1">
      <c r="A13" s="24" t="inlineStr">
        <is>
          <t>WACC 13.0% (beta 1.8, near-100% equity weight); terminal g 3.5% (space secular)</t>
        </is>
      </c>
    </row>
    <row r="15">
      <c r="A15" s="18" t="inlineStr">
        <is>
          <t>Data sources &amp; caveats</t>
        </is>
      </c>
    </row>
    <row r="16" ht="16" customHeight="1">
      <c r="A16" s="24" t="inlineStr">
        <is>
          <t>Rocket Lab Q1 CY26 10-Q (May 2026); FY25 10-K (Feb 2026); FY24 10-K; investor relations press releases.</t>
        </is>
      </c>
    </row>
    <row r="17" ht="16" customHeight="1">
      <c r="A17" s="24" t="inlineStr">
        <is>
          <t>Neutron timeline per management commentary (Q4 2026 NET after Q4 2025 tank-test failure pushed mid-2026).</t>
        </is>
      </c>
    </row>
    <row r="18" ht="16" customHeight="1">
      <c r="A18" s="24" t="inlineStr">
        <is>
          <t>Mynaric acquisition closed April 14, 2026 ($155.3M = nominal cash + 2.28M shares); contribution embedded in Space Systems projection.</t>
        </is>
      </c>
    </row>
    <row r="19" ht="16" customHeight="1">
      <c r="A19" s="24" t="inlineStr">
        <is>
          <t>MCP terminals NOT configured. Forecasts heavily [E]-flagged given execution dependencies.</t>
        </is>
      </c>
    </row>
    <row r="20" ht="16" customHeight="1">
      <c r="A20" s="24" t="inlineStr">
        <is>
          <t>Sanity check: ~$69B mkt cap on $602M FY25 rev = ~115x P/S; analyst PT $103.91 (S&amp;P consensus, ~16% below spot $123.32).</t>
        </is>
      </c>
    </row>
    <row r="21" ht="16" customHeight="1">
      <c r="A21" s="24" t="inlineStr">
        <is>
          <t>Research / decision-framing only — NOT investment advice.</t>
        </is>
      </c>
    </row>
  </sheetData>
  <mergeCells count="18">
    <mergeCell ref="A21:E21"/>
    <mergeCell ref="A12:E12"/>
    <mergeCell ref="A4:E4"/>
    <mergeCell ref="A18:E18"/>
    <mergeCell ref="A20:E20"/>
    <mergeCell ref="A16:E16"/>
    <mergeCell ref="A15:E15"/>
    <mergeCell ref="A7:E7"/>
    <mergeCell ref="A10:E10"/>
    <mergeCell ref="A19:E19"/>
    <mergeCell ref="A11:E11"/>
    <mergeCell ref="A1:E1"/>
    <mergeCell ref="A5:E5"/>
    <mergeCell ref="A13:E13"/>
    <mergeCell ref="A6:E6"/>
    <mergeCell ref="A17:E17"/>
    <mergeCell ref="A9:E9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2026-06-04T06:27:42Z</dcterms:created>
  <dcterms:modified xmlns:dcterms="http://purl.org/dc/terms/" xmlns:xsi="http://www.w3.org/2001/XMLSchema-instance" xsi:type="dcterms:W3CDTF">2026-06-04T06:27:42Z</dcterms:modified>
</cp:coreProperties>
</file>
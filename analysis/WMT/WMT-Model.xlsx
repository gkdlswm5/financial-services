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s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0.000"/>
  </numFmts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i val="1"/>
      <color rgb="00595959"/>
      <sz val="10"/>
    </font>
    <font>
      <name val="Times New Roman"/>
      <b val="1"/>
      <color rgb="0017365D"/>
      <sz val="11"/>
    </font>
    <font>
      <name val="Times New Roman"/>
      <color rgb="00000000"/>
      <sz val="11"/>
    </font>
    <font>
      <name val="Times New Roman"/>
      <b val="1"/>
      <sz val="11"/>
    </font>
    <font>
      <name val="Times New Roman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0" pivotButton="0" quotePrefix="0" xfId="0"/>
    <xf numFmtId="165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3" fillId="3" borderId="0" pivotButton="0" quotePrefix="0" xfId="0"/>
    <xf numFmtId="166" fontId="4" fillId="0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WMT model</author>
  </authors>
  <commentList>
    <comment ref="C6" authorId="0" shapeId="0">
      <text>
        <t>[E] FY24 Walmart US ~$442B (10-K FY24)</t>
      </text>
    </comment>
    <comment ref="D6" authorId="0" shapeId="0">
      <text>
        <t>[E] FY25 Walmart US ~$462B</t>
      </text>
    </comment>
    <comment ref="E6" authorId="0" shapeId="0">
      <text>
        <t>[E] FY26 Walmart US ~$485B (FY26 closed Jan 2026)</t>
      </text>
    </comment>
    <comment ref="F6" authorId="0" shapeId="0">
      <text>
        <t>[E] WMT US +5%/yr base case (sustained comp +3-4% + new units)</t>
      </text>
    </comment>
    <comment ref="G6" authorId="0" shapeId="0">
      <text>
        <t>[E] WMT US +5%/yr base case (sustained comp +3-4% + new units)</t>
      </text>
    </comment>
    <comment ref="H6" authorId="0" shapeId="0">
      <text>
        <t>[E] WMT US +5%/yr base case (sustained comp +3-4% + new units)</t>
      </text>
    </comment>
    <comment ref="I6" authorId="0" shapeId="0">
      <text>
        <t>[E] WMT US +5%/yr base case (sustained comp +3-4% + new units)</t>
      </text>
    </comment>
    <comment ref="J6" authorId="0" shapeId="0">
      <text>
        <t>[E] WMT US +5%/yr base case (sustained comp +3-4% + new units)</t>
      </text>
    </comment>
    <comment ref="C7" authorId="0" shapeId="0">
      <text>
        <t>[E] FY24 Intl ~$101B</t>
      </text>
    </comment>
    <comment ref="D7" authorId="0" shapeId="0">
      <text>
        <t>[E] FY25 Intl ~$115B (Flipkart, Walmex)</t>
      </text>
    </comment>
    <comment ref="E7" authorId="0" shapeId="0">
      <text>
        <t>[E] FY26 Intl ~$122B</t>
      </text>
    </comment>
    <comment ref="F7" authorId="0" shapeId="0">
      <text>
        <t>[E] Intl +7-8%/yr (Flipkart, Walmex, Latin America)</t>
      </text>
    </comment>
    <comment ref="G7" authorId="0" shapeId="0">
      <text>
        <t>[E] Intl +7-8%/yr (Flipkart, Walmex, Latin America)</t>
      </text>
    </comment>
    <comment ref="H7" authorId="0" shapeId="0">
      <text>
        <t>[E] Intl +7-8%/yr (Flipkart, Walmex, Latin America)</t>
      </text>
    </comment>
    <comment ref="I7" authorId="0" shapeId="0">
      <text>
        <t>[E] Intl +7-8%/yr (Flipkart, Walmex, Latin America)</t>
      </text>
    </comment>
    <comment ref="J7" authorId="0" shapeId="0">
      <text>
        <t>[E] Intl +7-8%/yr (Flipkart, Walmex, Latin America)</t>
      </text>
    </comment>
    <comment ref="C8" authorId="0" shapeId="0">
      <text>
        <t>[E] FY24 Sam's Club ~$86B</t>
      </text>
    </comment>
    <comment ref="D8" authorId="0" shapeId="0">
      <text>
        <t>[E] FY25 Sam's Club ~$90B</t>
      </text>
    </comment>
    <comment ref="E8" authorId="0" shapeId="0">
      <text>
        <t>[E] FY26 Sam's Club ~$95B</t>
      </text>
    </comment>
    <comment ref="F8" authorId="0" shapeId="0">
      <text>
        <t>[E] Sam's Club +5-6%/yr (club expansion + member fees)</t>
      </text>
    </comment>
    <comment ref="G8" authorId="0" shapeId="0">
      <text>
        <t>[E] Sam's Club +5-6%/yr (club expansion + member fees)</t>
      </text>
    </comment>
    <comment ref="H8" authorId="0" shapeId="0">
      <text>
        <t>[E] Sam's Club +5-6%/yr (club expansion + member fees)</t>
      </text>
    </comment>
    <comment ref="I8" authorId="0" shapeId="0">
      <text>
        <t>[E] Sam's Club +5-6%/yr (club expansion + member fees)</t>
      </text>
    </comment>
    <comment ref="J8" authorId="0" shapeId="0">
      <text>
        <t>[E] Sam's Club +5-6%/yr (club expansion + member fees)</t>
      </text>
    </comment>
    <comment ref="C14" authorId="0" shapeId="0">
      <text>
        <t>[E] Walmart Connect ad revenue trajectory: ~$3B (FY24) -&gt; ~$15B (FY31); ~40% EBIT margin per mgmt</t>
      </text>
    </comment>
    <comment ref="D14" authorId="0" shapeId="0">
      <text>
        <t>[E] Walmart Connect ad revenue trajectory: ~$3B (FY24) -&gt; ~$15B (FY31); ~40% EBIT margin per mgmt</t>
      </text>
    </comment>
    <comment ref="E14" authorId="0" shapeId="0">
      <text>
        <t>[E] Walmart Connect ad revenue trajectory: ~$3B (FY24) -&gt; ~$15B (FY31); ~40% EBIT margin per mgmt</t>
      </text>
    </comment>
    <comment ref="F14" authorId="0" shapeId="0">
      <text>
        <t>[E] Walmart Connect ad revenue trajectory: ~$3B (FY24) -&gt; ~$15B (FY31); ~40% EBIT margin per mgmt</t>
      </text>
    </comment>
    <comment ref="G14" authorId="0" shapeId="0">
      <text>
        <t>[E] Walmart Connect ad revenue trajectory: ~$3B (FY24) -&gt; ~$15B (FY31); ~40% EBIT margin per mgmt</t>
      </text>
    </comment>
    <comment ref="H14" authorId="0" shapeId="0">
      <text>
        <t>[E] Walmart Connect ad revenue trajectory: ~$3B (FY24) -&gt; ~$15B (FY31); ~40% EBIT margin per mgmt</t>
      </text>
    </comment>
    <comment ref="I14" authorId="0" shapeId="0">
      <text>
        <t>[E] Walmart Connect ad revenue trajectory: ~$3B (FY24) -&gt; ~$15B (FY31); ~40% EBIT margin per mgmt</t>
      </text>
    </comment>
    <comment ref="J14" authorId="0" shapeId="0">
      <text>
        <t>[E] Walmart Connect ad revenue trajectory: ~$3B (FY24) -&gt; ~$15B (FY31); ~40% EBIT margin per mgmt</t>
      </text>
    </comment>
    <comment ref="C15" authorId="0" shapeId="0">
      <text>
        <t>[E] Membership (Sam's $2B+ Walmart+ ~$1B currently) grows mid-teens with member adds + fee increases</t>
      </text>
    </comment>
    <comment ref="D15" authorId="0" shapeId="0">
      <text>
        <t>[E] Membership (Sam's $2B+ Walmart+ ~$1B currently) grows mid-teens with member adds + fee increases</t>
      </text>
    </comment>
    <comment ref="E15" authorId="0" shapeId="0">
      <text>
        <t>[E] Membership (Sam's $2B+ Walmart+ ~$1B currently) grows mid-teens with member adds + fee increases</t>
      </text>
    </comment>
    <comment ref="F15" authorId="0" shapeId="0">
      <text>
        <t>[E] Membership (Sam's $2B+ Walmart+ ~$1B currently) grows mid-teens with member adds + fee increases</t>
      </text>
    </comment>
    <comment ref="G15" authorId="0" shapeId="0">
      <text>
        <t>[E] Membership (Sam's $2B+ Walmart+ ~$1B currently) grows mid-teens with member adds + fee increases</t>
      </text>
    </comment>
    <comment ref="H15" authorId="0" shapeId="0">
      <text>
        <t>[E] Membership (Sam's $2B+ Walmart+ ~$1B currently) grows mid-teens with member adds + fee increases</t>
      </text>
    </comment>
    <comment ref="I15" authorId="0" shapeId="0">
      <text>
        <t>[E] Membership (Sam's $2B+ Walmart+ ~$1B currently) grows mid-teens with member adds + fee increases</t>
      </text>
    </comment>
    <comment ref="J15" authorId="0" shapeId="0">
      <text>
        <t>[E] Membership (Sam's $2B+ Walmart+ ~$1B currently) grows mid-teens with member adds + fee increases</t>
      </text>
    </comment>
    <comment ref="C19" authorId="0" shapeId="0">
      <text>
        <t>FY24 EBIT margin ~4.2%</t>
      </text>
    </comment>
    <comment ref="D19" authorId="0" shapeId="0">
      <text>
        <t>FY25 ~4.4%</t>
      </text>
    </comment>
    <comment ref="E19" authorId="0" shapeId="0">
      <text>
        <t>FY26 ~4.5%</t>
      </text>
    </comment>
    <comment ref="F19" authorId="0" shapeId="0">
      <text>
        <t>[E] FY27 4.7% — ad+marketplace+membership mix lift accelerating</t>
      </text>
    </comment>
    <comment ref="G19" authorId="0" shapeId="0">
      <text>
        <t>[E] 4.9%</t>
      </text>
    </comment>
    <comment ref="H19" authorId="0" shapeId="0">
      <text>
        <t>[E] 5.1%</t>
      </text>
    </comment>
    <comment ref="I19" authorId="0" shapeId="0">
      <text>
        <t>[E] 5.2%</t>
      </text>
    </comment>
    <comment ref="J19" authorId="0" shapeId="0">
      <text>
        <t>[E] 5.3% (mgmt long-term ~5%+)</t>
      </text>
    </comment>
    <comment ref="C20" authorId="0" shapeId="0">
      <text>
        <t>[E] D&amp;A ~1.8% of revenue (WMT historical)</t>
      </text>
    </comment>
    <comment ref="D20" authorId="0" shapeId="0">
      <text>
        <t>[E] D&amp;A ~1.8% of revenue (WMT historical)</t>
      </text>
    </comment>
    <comment ref="E20" authorId="0" shapeId="0">
      <text>
        <t>[E] D&amp;A ~1.8% of revenue (WMT historical)</t>
      </text>
    </comment>
    <comment ref="F20" authorId="0" shapeId="0">
      <text>
        <t>[E] D&amp;A ~1.8% of revenue (WMT historical)</t>
      </text>
    </comment>
    <comment ref="G20" authorId="0" shapeId="0">
      <text>
        <t>[E] D&amp;A ~1.8% of revenue (WMT historical)</t>
      </text>
    </comment>
    <comment ref="H20" authorId="0" shapeId="0">
      <text>
        <t>[E] D&amp;A ~1.8% of revenue (WMT historical)</t>
      </text>
    </comment>
    <comment ref="I20" authorId="0" shapeId="0">
      <text>
        <t>[E] D&amp;A ~1.8% of revenue (WMT historical)</t>
      </text>
    </comment>
    <comment ref="J20" authorId="0" shapeId="0">
      <text>
        <t>[E] D&amp;A ~1.8% of revenue (WMT historical)</t>
      </text>
    </comment>
    <comment ref="C21" authorId="0" shapeId="0">
      <text>
        <t>[E] FY24 capex ~3.0% of rev (~$20B)</t>
      </text>
    </comment>
    <comment ref="D21" authorId="0" shapeId="0">
      <text>
        <t>[E] FY25 ~3.0%</t>
      </text>
    </comment>
    <comment ref="E21" authorId="0" shapeId="0">
      <text>
        <t>[E] FY26 ~2.8%</t>
      </text>
    </comment>
    <comment ref="F21" authorId="0" shapeId="0">
      <text>
        <t>[E] FY27 ~2.7%</t>
      </text>
    </comment>
    <comment ref="G21" authorId="0" shapeId="0">
      <text>
        <t>[E] 2.6%</t>
      </text>
    </comment>
    <comment ref="H21" authorId="0" shapeId="0">
      <text>
        <t>[E] 2.5%</t>
      </text>
    </comment>
    <comment ref="I21" authorId="0" shapeId="0">
      <text>
        <t>[E] 2.4%</t>
      </text>
    </comment>
    <comment ref="J21" authorId="0" shapeId="0">
      <text>
        <t>[E] 2.4% (DC + automation peak passes)</t>
      </text>
    </comment>
    <comment ref="C22" authorId="0" shapeId="0">
      <text>
        <t>[E] Cash tax rate ~24.5% (US statutory + state)</t>
      </text>
    </comment>
    <comment ref="D22" authorId="0" shapeId="0">
      <text>
        <t>[E] Cash tax rate ~24.5% (US statutory + state)</t>
      </text>
    </comment>
    <comment ref="E22" authorId="0" shapeId="0">
      <text>
        <t>[E] Cash tax rate ~24.5% (US statutory + state)</t>
      </text>
    </comment>
    <comment ref="F22" authorId="0" shapeId="0">
      <text>
        <t>[E] Cash tax rate ~24.5% (US statutory + state)</t>
      </text>
    </comment>
    <comment ref="G22" authorId="0" shapeId="0">
      <text>
        <t>[E] Cash tax rate ~24.5% (US statutory + state)</t>
      </text>
    </comment>
    <comment ref="H22" authorId="0" shapeId="0">
      <text>
        <t>[E] Cash tax rate ~24.5% (US statutory + state)</t>
      </text>
    </comment>
    <comment ref="I22" authorId="0" shapeId="0">
      <text>
        <t>[E] Cash tax rate ~24.5% (US statutory + state)</t>
      </text>
    </comment>
    <comment ref="J22" authorId="0" shapeId="0">
      <text>
        <t>[E] Cash tax rate ~24.5% (US statutory + state)</t>
      </text>
    </comment>
    <comment ref="C23" authorId="0" shapeId="0">
      <text>
        <t>[E] WMT runs negative working capital naturally (supplier financing); incremental ~0%</t>
      </text>
    </comment>
    <comment ref="D23" authorId="0" shapeId="0">
      <text>
        <t>[E] WMT runs negative working capital naturally (supplier financing); incremental ~0%</t>
      </text>
    </comment>
    <comment ref="E23" authorId="0" shapeId="0">
      <text>
        <t>[E] WMT runs negative working capital naturally (supplier financing); incremental ~0%</t>
      </text>
    </comment>
    <comment ref="F23" authorId="0" shapeId="0">
      <text>
        <t>[E] WMT runs negative working capital naturally (supplier financing); incremental ~0%</t>
      </text>
    </comment>
    <comment ref="G23" authorId="0" shapeId="0">
      <text>
        <t>[E] WMT runs negative working capital naturally (supplier financing); incremental ~0%</t>
      </text>
    </comment>
    <comment ref="H23" authorId="0" shapeId="0">
      <text>
        <t>[E] WMT runs negative working capital naturally (supplier financing); incremental ~0%</t>
      </text>
    </comment>
    <comment ref="I23" authorId="0" shapeId="0">
      <text>
        <t>[E] WMT runs negative working capital naturally (supplier financing); incremental ~0%</t>
      </text>
    </comment>
    <comment ref="J23" authorId="0" shapeId="0">
      <text>
        <t>[E] WMT runs negative working capital naturally (supplier financing); incremental ~0%</t>
      </text>
    </comment>
    <comment ref="C26" authorId="0" shapeId="0">
      <text>
        <t>WMT ~$95.50/sh (June 3, 2026; ~$760B mkt cap range)</t>
      </text>
    </comment>
    <comment ref="C27" authorId="0" shapeId="0">
      <text>
        <t>~8.05B diluted shares (StockAnalysis)</t>
      </text>
    </comment>
    <comment ref="C28" authorId="0" shapeId="0">
      <text>
        <t>[E] Total debt ~$60B (long-term + current portion)</t>
      </text>
    </comment>
    <comment ref="C29" authorId="0" shapeId="0">
      <text>
        <t>[E] Cash ~$11B (latest 10-Q)</t>
      </text>
    </comment>
    <comment ref="C30" authorId="0" shapeId="0">
      <text>
        <t>[E] 10-yr UST ~4.3% (June 2026)</t>
      </text>
    </comment>
    <comment ref="C31" authorId="0" shapeId="0">
      <text>
        <t>[E] US equity risk premium ~5.0%</t>
      </text>
    </comment>
    <comment ref="C32" authorId="0" shapeId="0">
      <text>
        <t>[E] WMT beta ~0.60 (defensive consumer staple)</t>
      </text>
    </comment>
    <comment ref="C33" authorId="0" shapeId="0">
      <text>
        <t>[E] WMT investment-grade Kd ~4.5%</t>
      </text>
    </comment>
    <comment ref="C34" authorId="0" shapeId="0">
      <text>
        <t>[E] BASE terminal growth 2.5% (mature US retail)</t>
      </text>
    </comment>
  </commentList>
</comments>
</file>

<file path=xl/comments/comment2.xml><?xml version="1.0" encoding="utf-8"?>
<comments xmlns="http://schemas.openxmlformats.org/spreadsheetml/2006/main">
  <authors>
    <author>WMT model</author>
  </authors>
  <commentList>
    <comment ref="C10" authorId="0" shapeId="0">
      <text>
        <t>[E] FY24 net interest ~$2.5B</t>
      </text>
    </comment>
    <comment ref="D10" authorId="0" shapeId="0">
      <text>
        <t>[E] FY25 ~$2.35B</t>
      </text>
    </comment>
    <comment ref="E10" authorId="0" shapeId="0">
      <text>
        <t>[E] FY26 ~$2.3B</t>
      </text>
    </comment>
  </commentList>
</comments>
</file>

<file path=xl/comments/comment3.xml><?xml version="1.0" encoding="utf-8"?>
<comments xmlns="http://schemas.openxmlformats.org/spreadsheetml/2006/main">
  <authors>
    <author>WMT model</author>
  </authors>
  <commentList>
    <comment ref="C5" authorId="0" shapeId="0">
      <text>
        <t>[E] FY24 cash ~$9B</t>
      </text>
    </comment>
    <comment ref="D5" authorId="0" shapeId="0">
      <text>
        <t>[E] FY25 cash ~$9.9B</t>
      </text>
    </comment>
    <comment ref="E5" authorId="0" shapeId="0">
      <text>
        <t>[E] FY26 cash ~$11B</t>
      </text>
    </comment>
    <comment ref="C7" authorId="0" shapeId="0">
      <text>
        <t>[E] FY24 total debt ~$60B</t>
      </text>
    </comment>
    <comment ref="D7" authorId="0" shapeId="0">
      <text>
        <t>[E] FY25 ~$61B</t>
      </text>
    </comment>
    <comment ref="E7" authorId="0" shapeId="0">
      <text>
        <t>[E] FY26 ~$60B</t>
      </text>
    </comment>
    <comment ref="C8" authorId="0" shapeId="0">
      <text>
        <t>[E] FY24 equity ~$83.9B</t>
      </text>
    </comment>
    <comment ref="D8" authorId="0" shapeId="0">
      <text>
        <t>[E] FY25 equity ~$91B</t>
      </text>
    </comment>
    <comment ref="E8" authorId="0" shapeId="0">
      <text>
        <t>[E] FY26 equity ~$95B</t>
      </text>
    </comment>
    <comment ref="F10" authorId="0" shapeId="0">
      <text>
        <t>[E] $2B paydown FY27</t>
      </text>
    </comment>
    <comment ref="G10" authorId="0" shapeId="0">
      <text>
        <t>[E] $2B FY28</t>
      </text>
    </comment>
    <comment ref="H10" authorId="0" shapeId="0">
      <text>
        <t>[E] $2B FY29</t>
      </text>
    </comment>
    <comment ref="I10" authorId="0" shapeId="0">
      <text>
        <t>[E] $1.5B FY30</t>
      </text>
    </comment>
    <comment ref="J10" authorId="0" shapeId="0">
      <text>
        <t>[E] $1.5B FY31</t>
      </text>
    </comment>
    <comment ref="F11" authorId="0" shapeId="0">
      <text>
        <t>[E] FY27 div + buyback ~$15B (div ~$10B + buyback ~$5B)</t>
      </text>
    </comment>
    <comment ref="G11" authorId="0" shapeId="0">
      <text>
        <t>[E] $16B FY28</t>
      </text>
    </comment>
    <comment ref="H11" authorId="0" shapeId="0">
      <text>
        <t>[E] $17.5B FY29</t>
      </text>
    </comment>
    <comment ref="I11" authorId="0" shapeId="0">
      <text>
        <t>[E] $19B FY30</t>
      </text>
    </comment>
    <comment ref="J11" authorId="0" shapeId="0">
      <text>
        <t>[E] $20.5B FY31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WALMART (WMT) — INTEGRATED MODEL: DRIVERS &amp; ASSUMPTIONS</t>
        </is>
      </c>
    </row>
    <row r="2">
      <c r="A2" s="2" t="inlineStr">
        <is>
          <t>As of June 3, 2026 | $ in millions | Blue = input/assumption, Black = formula | WMT FY ends ~Jan 31 (FY26 ended Jan 2026)</t>
        </is>
      </c>
    </row>
    <row r="4">
      <c r="A4" s="1" t="inlineStr">
        <is>
          <t>SEGMENT REVENUE BUILD ($M)</t>
        </is>
      </c>
    </row>
    <row r="5">
      <c r="A5" s="3" t="inlineStr">
        <is>
          <t>($ in millions)</t>
        </is>
      </c>
      <c r="C5" s="4" t="inlineStr">
        <is>
          <t>FY2024A</t>
        </is>
      </c>
      <c r="D5" s="4" t="inlineStr">
        <is>
          <t>FY2025A</t>
        </is>
      </c>
      <c r="E5" s="4" t="inlineStr">
        <is>
          <t>FY2026A</t>
        </is>
      </c>
      <c r="F5" s="4" t="inlineStr">
        <is>
          <t>FY2027E</t>
        </is>
      </c>
      <c r="G5" s="4" t="inlineStr">
        <is>
          <t>FY2028E</t>
        </is>
      </c>
      <c r="H5" s="4" t="inlineStr">
        <is>
          <t>FY2029E</t>
        </is>
      </c>
      <c r="I5" s="4" t="inlineStr">
        <is>
          <t>FY2030E</t>
        </is>
      </c>
      <c r="J5" s="4" t="inlineStr">
        <is>
          <t>FY2031E</t>
        </is>
      </c>
    </row>
    <row r="6">
      <c r="A6" s="5" t="inlineStr">
        <is>
          <t xml:space="preserve">  Walmart US</t>
        </is>
      </c>
      <c r="C6" s="6" t="n">
        <v>442000</v>
      </c>
      <c r="D6" s="6" t="n">
        <v>462000</v>
      </c>
      <c r="E6" s="6" t="n">
        <v>485000</v>
      </c>
      <c r="F6" s="6" t="n">
        <v>509000</v>
      </c>
      <c r="G6" s="6" t="n">
        <v>535000</v>
      </c>
      <c r="H6" s="6" t="n">
        <v>562000</v>
      </c>
      <c r="I6" s="6" t="n">
        <v>590000</v>
      </c>
      <c r="J6" s="6" t="n">
        <v>619000</v>
      </c>
    </row>
    <row r="7">
      <c r="A7" s="5" t="inlineStr">
        <is>
          <t xml:space="preserve">  Walmart International</t>
        </is>
      </c>
      <c r="C7" s="6" t="n">
        <v>101000</v>
      </c>
      <c r="D7" s="6" t="n">
        <v>115000</v>
      </c>
      <c r="E7" s="6" t="n">
        <v>122000</v>
      </c>
      <c r="F7" s="6" t="n">
        <v>131000</v>
      </c>
      <c r="G7" s="6" t="n">
        <v>141000</v>
      </c>
      <c r="H7" s="6" t="n">
        <v>152000</v>
      </c>
      <c r="I7" s="6" t="n">
        <v>163000</v>
      </c>
      <c r="J7" s="6" t="n">
        <v>175000</v>
      </c>
    </row>
    <row r="8">
      <c r="A8" s="5" t="inlineStr">
        <is>
          <t xml:space="preserve">  Sam's Club</t>
        </is>
      </c>
      <c r="C8" s="6" t="n">
        <v>86000</v>
      </c>
      <c r="D8" s="6" t="n">
        <v>90000</v>
      </c>
      <c r="E8" s="6" t="n">
        <v>95000</v>
      </c>
      <c r="F8" s="6" t="n">
        <v>100000</v>
      </c>
      <c r="G8" s="6" t="n">
        <v>106000</v>
      </c>
      <c r="H8" s="6" t="n">
        <v>112000</v>
      </c>
      <c r="I8" s="6" t="n">
        <v>119000</v>
      </c>
      <c r="J8" s="6" t="n">
        <v>126000</v>
      </c>
    </row>
    <row r="9">
      <c r="A9" s="7" t="inlineStr">
        <is>
          <t>Total revenue</t>
        </is>
      </c>
      <c r="C9" s="8">
        <f>SUM(C6:C8)</f>
        <v/>
      </c>
      <c r="D9" s="8">
        <f>SUM(D6:D8)</f>
        <v/>
      </c>
      <c r="E9" s="8">
        <f>SUM(E6:E8)</f>
        <v/>
      </c>
      <c r="F9" s="8">
        <f>SUM(F6:F8)</f>
        <v/>
      </c>
      <c r="G9" s="8">
        <f>SUM(G6:G8)</f>
        <v/>
      </c>
      <c r="H9" s="8">
        <f>SUM(H6:H8)</f>
        <v/>
      </c>
      <c r="I9" s="8">
        <f>SUM(I6:I8)</f>
        <v/>
      </c>
      <c r="J9" s="8">
        <f>SUM(J6:J8)</f>
        <v/>
      </c>
    </row>
    <row r="10">
      <c r="A10" s="5" t="inlineStr">
        <is>
          <t xml:space="preserve">  Total revenue growth %</t>
        </is>
      </c>
      <c r="C10" s="2" t="inlineStr">
        <is>
          <t>n/a</t>
        </is>
      </c>
      <c r="D10" s="9">
        <f>D9/C9-1</f>
        <v/>
      </c>
      <c r="E10" s="9">
        <f>E9/D9-1</f>
        <v/>
      </c>
      <c r="F10" s="9">
        <f>F9/E9-1</f>
        <v/>
      </c>
      <c r="G10" s="9">
        <f>G9/F9-1</f>
        <v/>
      </c>
      <c r="H10" s="9">
        <f>H9/G9-1</f>
        <v/>
      </c>
      <c r="I10" s="9">
        <f>I9/H9-1</f>
        <v/>
      </c>
      <c r="J10" s="9">
        <f>J9/I9-1</f>
        <v/>
      </c>
    </row>
    <row r="12">
      <c r="A12" s="1" t="inlineStr">
        <is>
          <t>HIGH-MARGIN MIX TIER (Walmart Connect ads + membership)</t>
        </is>
      </c>
    </row>
    <row r="13">
      <c r="A13" s="3" t="inlineStr">
        <is>
          <t>($ in millions)</t>
        </is>
      </c>
      <c r="C13" s="4" t="inlineStr">
        <is>
          <t>FY2024A</t>
        </is>
      </c>
      <c r="D13" s="4" t="inlineStr">
        <is>
          <t>FY2025A</t>
        </is>
      </c>
      <c r="E13" s="4" t="inlineStr">
        <is>
          <t>FY2026A</t>
        </is>
      </c>
      <c r="F13" s="4" t="inlineStr">
        <is>
          <t>FY2027E</t>
        </is>
      </c>
      <c r="G13" s="4" t="inlineStr">
        <is>
          <t>FY2028E</t>
        </is>
      </c>
      <c r="H13" s="4" t="inlineStr">
        <is>
          <t>FY2029E</t>
        </is>
      </c>
      <c r="I13" s="4" t="inlineStr">
        <is>
          <t>FY2030E</t>
        </is>
      </c>
      <c r="J13" s="4" t="inlineStr">
        <is>
          <t>FY2031E</t>
        </is>
      </c>
    </row>
    <row r="14">
      <c r="A14" s="5" t="inlineStr">
        <is>
          <t xml:space="preserve">  Walmart Connect ad revenue ($M)</t>
        </is>
      </c>
      <c r="C14" s="6" t="n">
        <v>3200</v>
      </c>
      <c r="D14" s="6" t="n">
        <v>4200</v>
      </c>
      <c r="E14" s="6" t="n">
        <v>5500</v>
      </c>
      <c r="F14" s="6" t="n">
        <v>7000</v>
      </c>
      <c r="G14" s="6" t="n">
        <v>8800</v>
      </c>
      <c r="H14" s="6" t="n">
        <v>10800</v>
      </c>
      <c r="I14" s="6" t="n">
        <v>13000</v>
      </c>
      <c r="J14" s="6" t="n">
        <v>15500</v>
      </c>
    </row>
    <row r="15">
      <c r="A15" s="5" t="inlineStr">
        <is>
          <t xml:space="preserve">  Membership revenue (Sam's + Walmart+, $M)</t>
        </is>
      </c>
      <c r="C15" s="6" t="n">
        <v>2600</v>
      </c>
      <c r="D15" s="6" t="n">
        <v>2900</v>
      </c>
      <c r="E15" s="6" t="n">
        <v>3300</v>
      </c>
      <c r="F15" s="6" t="n">
        <v>3700</v>
      </c>
      <c r="G15" s="6" t="n">
        <v>4100</v>
      </c>
      <c r="H15" s="6" t="n">
        <v>4500</v>
      </c>
      <c r="I15" s="6" t="n">
        <v>5000</v>
      </c>
      <c r="J15" s="6" t="n">
        <v>5500</v>
      </c>
    </row>
    <row r="17">
      <c r="A17" s="1" t="inlineStr">
        <is>
          <t>MARGIN &amp; FREE-CASH-FLOW DRIVERS</t>
        </is>
      </c>
    </row>
    <row r="18">
      <c r="A18" s="3" t="inlineStr">
        <is>
          <t>($ in millions)</t>
        </is>
      </c>
      <c r="C18" s="4" t="inlineStr">
        <is>
          <t>FY2024A</t>
        </is>
      </c>
      <c r="D18" s="4" t="inlineStr">
        <is>
          <t>FY2025A</t>
        </is>
      </c>
      <c r="E18" s="4" t="inlineStr">
        <is>
          <t>FY2026A</t>
        </is>
      </c>
      <c r="F18" s="4" t="inlineStr">
        <is>
          <t>FY2027E</t>
        </is>
      </c>
      <c r="G18" s="4" t="inlineStr">
        <is>
          <t>FY2028E</t>
        </is>
      </c>
      <c r="H18" s="4" t="inlineStr">
        <is>
          <t>FY2029E</t>
        </is>
      </c>
      <c r="I18" s="4" t="inlineStr">
        <is>
          <t>FY2030E</t>
        </is>
      </c>
      <c r="J18" s="4" t="inlineStr">
        <is>
          <t>FY2031E</t>
        </is>
      </c>
    </row>
    <row r="19">
      <c r="A19" s="5" t="inlineStr">
        <is>
          <t xml:space="preserve">  Operating margin % (GAAP EBIT)</t>
        </is>
      </c>
      <c r="C19" s="10" t="n">
        <v>0.042</v>
      </c>
      <c r="D19" s="10" t="n">
        <v>0.044</v>
      </c>
      <c r="E19" s="10" t="n">
        <v>0.045</v>
      </c>
      <c r="F19" s="10" t="n">
        <v>0.047</v>
      </c>
      <c r="G19" s="10" t="n">
        <v>0.049</v>
      </c>
      <c r="H19" s="10" t="n">
        <v>0.051</v>
      </c>
      <c r="I19" s="10" t="n">
        <v>0.052</v>
      </c>
      <c r="J19" s="10" t="n">
        <v>0.053</v>
      </c>
    </row>
    <row r="20">
      <c r="A20" s="5" t="inlineStr">
        <is>
          <t xml:space="preserve">  D&amp;A % of revenue</t>
        </is>
      </c>
      <c r="C20" s="10" t="n">
        <v>0.018</v>
      </c>
      <c r="D20" s="10" t="n">
        <v>0.018</v>
      </c>
      <c r="E20" s="10" t="n">
        <v>0.018</v>
      </c>
      <c r="F20" s="10" t="n">
        <v>0.018</v>
      </c>
      <c r="G20" s="10" t="n">
        <v>0.018</v>
      </c>
      <c r="H20" s="10" t="n">
        <v>0.018</v>
      </c>
      <c r="I20" s="10" t="n">
        <v>0.018</v>
      </c>
      <c r="J20" s="10" t="n">
        <v>0.018</v>
      </c>
    </row>
    <row r="21">
      <c r="A21" s="5" t="inlineStr">
        <is>
          <t xml:space="preserve">  Capex % of revenue</t>
        </is>
      </c>
      <c r="C21" s="10" t="n">
        <v>0.03</v>
      </c>
      <c r="D21" s="10" t="n">
        <v>0.03</v>
      </c>
      <c r="E21" s="10" t="n">
        <v>0.028</v>
      </c>
      <c r="F21" s="10" t="n">
        <v>0.027</v>
      </c>
      <c r="G21" s="10" t="n">
        <v>0.026</v>
      </c>
      <c r="H21" s="10" t="n">
        <v>0.025</v>
      </c>
      <c r="I21" s="10" t="n">
        <v>0.024</v>
      </c>
      <c r="J21" s="10" t="n">
        <v>0.024</v>
      </c>
    </row>
    <row r="22">
      <c r="A22" s="5" t="inlineStr">
        <is>
          <t xml:space="preserve">  Cash tax rate %</t>
        </is>
      </c>
      <c r="C22" s="10" t="n">
        <v>0.245</v>
      </c>
      <c r="D22" s="10" t="n">
        <v>0.245</v>
      </c>
      <c r="E22" s="10" t="n">
        <v>0.245</v>
      </c>
      <c r="F22" s="10" t="n">
        <v>0.245</v>
      </c>
      <c r="G22" s="10" t="n">
        <v>0.245</v>
      </c>
      <c r="H22" s="10" t="n">
        <v>0.245</v>
      </c>
      <c r="I22" s="10" t="n">
        <v>0.245</v>
      </c>
      <c r="J22" s="10" t="n">
        <v>0.245</v>
      </c>
    </row>
    <row r="23">
      <c r="A23" s="5" t="inlineStr">
        <is>
          <t xml:space="preserve">  Incr. NWC % of revenue growth</t>
        </is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</row>
    <row r="25">
      <c r="A25" s="1" t="inlineStr">
        <is>
          <t>MARKET DATA &amp; WACC INPUTS</t>
        </is>
      </c>
    </row>
    <row r="26">
      <c r="A26" s="11" t="inlineStr">
        <is>
          <t>Current share price ($)</t>
        </is>
      </c>
      <c r="C26" s="12" t="n">
        <v>95.5</v>
      </c>
    </row>
    <row r="27">
      <c r="A27" s="11" t="inlineStr">
        <is>
          <t>Diluted shares (M)</t>
        </is>
      </c>
      <c r="C27" s="6" t="n">
        <v>8050</v>
      </c>
    </row>
    <row r="28">
      <c r="A28" s="11" t="inlineStr">
        <is>
          <t>Total debt ($M)</t>
        </is>
      </c>
      <c r="C28" s="6" t="n">
        <v>60000</v>
      </c>
    </row>
    <row r="29">
      <c r="A29" s="11" t="inlineStr">
        <is>
          <t>Cash &amp; equivalents ($M)</t>
        </is>
      </c>
      <c r="C29" s="6" t="n">
        <v>11000</v>
      </c>
    </row>
    <row r="30">
      <c r="A30" s="11" t="inlineStr">
        <is>
          <t>Risk-free rate %</t>
        </is>
      </c>
      <c r="C30" s="10" t="n">
        <v>0.043</v>
      </c>
    </row>
    <row r="31">
      <c r="A31" s="11" t="inlineStr">
        <is>
          <t>Equity risk premium %</t>
        </is>
      </c>
      <c r="C31" s="10" t="n">
        <v>0.05</v>
      </c>
    </row>
    <row r="32">
      <c r="A32" s="11" t="inlineStr">
        <is>
          <t>Beta</t>
        </is>
      </c>
      <c r="C32" s="13" t="n">
        <v>0.6</v>
      </c>
    </row>
    <row r="33">
      <c r="A33" s="11" t="inlineStr">
        <is>
          <t>Pre-tax cost of debt %</t>
        </is>
      </c>
      <c r="C33" s="10" t="n">
        <v>0.045</v>
      </c>
    </row>
    <row r="34">
      <c r="A34" s="11" t="inlineStr">
        <is>
          <t>Terminal growth rate %</t>
        </is>
      </c>
      <c r="C34" s="10" t="n">
        <v>0.025</v>
      </c>
    </row>
    <row r="36">
      <c r="A36" s="1" t="inlineStr">
        <is>
          <t>WACC (computed)</t>
        </is>
      </c>
    </row>
    <row r="37">
      <c r="A37" s="11" t="inlineStr">
        <is>
          <t>Cost of equity</t>
        </is>
      </c>
      <c r="C37" s="9">
        <f>C30+C32*C31</f>
        <v/>
      </c>
    </row>
    <row r="38">
      <c r="A38" s="11" t="inlineStr">
        <is>
          <t>After-tax cost of debt</t>
        </is>
      </c>
      <c r="C38" s="9">
        <f>C33*(1-E22)</f>
        <v/>
      </c>
    </row>
    <row r="39">
      <c r="A39" s="11" t="inlineStr">
        <is>
          <t>Market value of equity ($M)</t>
        </is>
      </c>
      <c r="C39" s="14">
        <f>C26*C27</f>
        <v/>
      </c>
    </row>
    <row r="40">
      <c r="A40" s="11" t="inlineStr">
        <is>
          <t>Net debt ($M)</t>
        </is>
      </c>
      <c r="C40" s="14">
        <f>C28-C29</f>
        <v/>
      </c>
    </row>
    <row r="41">
      <c r="A41" s="11" t="inlineStr">
        <is>
          <t>Equity weight</t>
        </is>
      </c>
      <c r="C41" s="9">
        <f>C39/(C39+C28)</f>
        <v/>
      </c>
    </row>
    <row r="42">
      <c r="A42" s="11" t="inlineStr">
        <is>
          <t>Debt weight</t>
        </is>
      </c>
      <c r="C42" s="9">
        <f>C28/(C39+C28)</f>
        <v/>
      </c>
    </row>
    <row r="43">
      <c r="A43" s="15" t="inlineStr">
        <is>
          <t>WACC</t>
        </is>
      </c>
      <c r="C43" s="16">
        <f>C41*C37+C42*C38</f>
        <v/>
      </c>
    </row>
  </sheetData>
  <mergeCells count="7">
    <mergeCell ref="A1:J1"/>
    <mergeCell ref="A17:J17"/>
    <mergeCell ref="A12:J12"/>
    <mergeCell ref="A4:J4"/>
    <mergeCell ref="A25:D25"/>
    <mergeCell ref="A2:J2"/>
    <mergeCell ref="A36:D3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INCOME STATEMENT ($M)</t>
        </is>
      </c>
    </row>
    <row r="4">
      <c r="A4" s="3" t="inlineStr">
        <is>
          <t>($ in millions)</t>
        </is>
      </c>
      <c r="C4" s="4" t="inlineStr">
        <is>
          <t>FY2024A</t>
        </is>
      </c>
      <c r="D4" s="4" t="inlineStr">
        <is>
          <t>FY2025A</t>
        </is>
      </c>
      <c r="E4" s="4" t="inlineStr">
        <is>
          <t>FY2026A</t>
        </is>
      </c>
      <c r="F4" s="4" t="inlineStr">
        <is>
          <t>FY2027E</t>
        </is>
      </c>
      <c r="G4" s="4" t="inlineStr">
        <is>
          <t>FY2028E</t>
        </is>
      </c>
      <c r="H4" s="4" t="inlineStr">
        <is>
          <t>FY2029E</t>
        </is>
      </c>
      <c r="I4" s="4" t="inlineStr">
        <is>
          <t>FY2030E</t>
        </is>
      </c>
      <c r="J4" s="4" t="inlineStr">
        <is>
          <t>FY2031E</t>
        </is>
      </c>
    </row>
    <row r="5">
      <c r="A5" s="7" t="inlineStr">
        <is>
          <t>Total revenue</t>
        </is>
      </c>
      <c r="C5" s="8">
        <f>Drivers!C9</f>
        <v/>
      </c>
      <c r="D5" s="8">
        <f>Drivers!D9</f>
        <v/>
      </c>
      <c r="E5" s="8">
        <f>Drivers!E9</f>
        <v/>
      </c>
      <c r="F5" s="8">
        <f>Drivers!F9</f>
        <v/>
      </c>
      <c r="G5" s="8">
        <f>Drivers!G9</f>
        <v/>
      </c>
      <c r="H5" s="8">
        <f>Drivers!H9</f>
        <v/>
      </c>
      <c r="I5" s="8">
        <f>Drivers!I9</f>
        <v/>
      </c>
      <c r="J5" s="8">
        <f>Drivers!J9</f>
        <v/>
      </c>
    </row>
    <row r="7">
      <c r="A7" s="5" t="inlineStr">
        <is>
          <t>Operating income (EBIT)</t>
        </is>
      </c>
      <c r="C7" s="14">
        <f>Drivers!C19*C5</f>
        <v/>
      </c>
      <c r="D7" s="14">
        <f>Drivers!D19*D5</f>
        <v/>
      </c>
      <c r="E7" s="14">
        <f>Drivers!E19*E5</f>
        <v/>
      </c>
      <c r="F7" s="14">
        <f>Drivers!F19*F5</f>
        <v/>
      </c>
      <c r="G7" s="14">
        <f>Drivers!G19*G5</f>
        <v/>
      </c>
      <c r="H7" s="14">
        <f>Drivers!H19*H5</f>
        <v/>
      </c>
      <c r="I7" s="14">
        <f>Drivers!I19*I5</f>
        <v/>
      </c>
      <c r="J7" s="14">
        <f>Drivers!J19*J5</f>
        <v/>
      </c>
    </row>
    <row r="8">
      <c r="A8" s="5" t="inlineStr">
        <is>
          <t>(+) D&amp;A</t>
        </is>
      </c>
      <c r="C8" s="14">
        <f>Drivers!C20*C5</f>
        <v/>
      </c>
      <c r="D8" s="14">
        <f>Drivers!D20*D5</f>
        <v/>
      </c>
      <c r="E8" s="14">
        <f>Drivers!E20*E5</f>
        <v/>
      </c>
      <c r="F8" s="14">
        <f>Drivers!F20*F5</f>
        <v/>
      </c>
      <c r="G8" s="14">
        <f>Drivers!G20*G5</f>
        <v/>
      </c>
      <c r="H8" s="14">
        <f>Drivers!H20*H5</f>
        <v/>
      </c>
      <c r="I8" s="14">
        <f>Drivers!I20*I5</f>
        <v/>
      </c>
      <c r="J8" s="14">
        <f>Drivers!J20*J5</f>
        <v/>
      </c>
    </row>
    <row r="9">
      <c r="A9" s="7" t="inlineStr">
        <is>
          <t>EBITDA</t>
        </is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  <c r="G9" s="8">
        <f>G7+G8</f>
        <v/>
      </c>
      <c r="H9" s="8">
        <f>H7+H8</f>
        <v/>
      </c>
      <c r="I9" s="8">
        <f>I7+I8</f>
        <v/>
      </c>
      <c r="J9" s="8">
        <f>J7+J8</f>
        <v/>
      </c>
    </row>
    <row r="10">
      <c r="A10" s="5" t="inlineStr">
        <is>
          <t>(-) Net interest expense</t>
        </is>
      </c>
      <c r="C10" s="6" t="n">
        <v>2500</v>
      </c>
      <c r="D10" s="6" t="n">
        <v>2350</v>
      </c>
      <c r="E10" s="6" t="n">
        <v>2300</v>
      </c>
      <c r="F10" s="14">
        <f>AVERAGE('Balance Sheet'!F7,'Balance Sheet'!E7)*Drivers!C33</f>
        <v/>
      </c>
      <c r="G10" s="14">
        <f>AVERAGE('Balance Sheet'!G7,'Balance Sheet'!F7)*Drivers!C33</f>
        <v/>
      </c>
      <c r="H10" s="14">
        <f>AVERAGE('Balance Sheet'!H7,'Balance Sheet'!G7)*Drivers!C33</f>
        <v/>
      </c>
      <c r="I10" s="14">
        <f>AVERAGE('Balance Sheet'!I7,'Balance Sheet'!H7)*Drivers!C33</f>
        <v/>
      </c>
      <c r="J10" s="14">
        <f>AVERAGE('Balance Sheet'!J7,'Balance Sheet'!I7)*Drivers!C33</f>
        <v/>
      </c>
    </row>
    <row r="11">
      <c r="A11" s="5" t="inlineStr">
        <is>
          <t>Pre-tax income</t>
        </is>
      </c>
      <c r="C11" s="14">
        <f>C9-C8-C10</f>
        <v/>
      </c>
      <c r="D11" s="14">
        <f>D9-D8-D10</f>
        <v/>
      </c>
      <c r="E11" s="14">
        <f>E9-E8-E10</f>
        <v/>
      </c>
      <c r="F11" s="14">
        <f>F9-F8-F10</f>
        <v/>
      </c>
      <c r="G11" s="14">
        <f>G9-G8-G10</f>
        <v/>
      </c>
      <c r="H11" s="14">
        <f>H9-H8-H10</f>
        <v/>
      </c>
      <c r="I11" s="14">
        <f>I9-I8-I10</f>
        <v/>
      </c>
      <c r="J11" s="14">
        <f>J9-J8-J10</f>
        <v/>
      </c>
    </row>
    <row r="12">
      <c r="A12" s="5" t="inlineStr">
        <is>
          <t>(-) Income taxes</t>
        </is>
      </c>
      <c r="C12" s="14">
        <f>C11*Drivers!C22</f>
        <v/>
      </c>
      <c r="D12" s="14">
        <f>D11*Drivers!D22</f>
        <v/>
      </c>
      <c r="E12" s="14">
        <f>E11*Drivers!E22</f>
        <v/>
      </c>
      <c r="F12" s="14">
        <f>F11*Drivers!F22</f>
        <v/>
      </c>
      <c r="G12" s="14">
        <f>G11*Drivers!G22</f>
        <v/>
      </c>
      <c r="H12" s="14">
        <f>H11*Drivers!H22</f>
        <v/>
      </c>
      <c r="I12" s="14">
        <f>I11*Drivers!I22</f>
        <v/>
      </c>
      <c r="J12" s="14">
        <f>J11*Drivers!J22</f>
        <v/>
      </c>
    </row>
    <row r="13">
      <c r="A13" s="7" t="inlineStr">
        <is>
          <t>Net income (GAAP)</t>
        </is>
      </c>
      <c r="C13" s="8">
        <f>C11-C12</f>
        <v/>
      </c>
      <c r="D13" s="8">
        <f>D11-D12</f>
        <v/>
      </c>
      <c r="E13" s="8">
        <f>E11-E12</f>
        <v/>
      </c>
      <c r="F13" s="8">
        <f>F11-F12</f>
        <v/>
      </c>
      <c r="G13" s="8">
        <f>G11-G12</f>
        <v/>
      </c>
      <c r="H13" s="8">
        <f>H11-H12</f>
        <v/>
      </c>
      <c r="I13" s="8">
        <f>I11-I12</f>
        <v/>
      </c>
      <c r="J13" s="8">
        <f>J11-J12</f>
        <v/>
      </c>
    </row>
    <row r="14">
      <c r="A14" s="5" t="inlineStr">
        <is>
          <t>Net margin %</t>
        </is>
      </c>
      <c r="C14" s="9">
        <f>C13/C5</f>
        <v/>
      </c>
      <c r="D14" s="9">
        <f>D13/D5</f>
        <v/>
      </c>
      <c r="E14" s="9">
        <f>E13/E5</f>
        <v/>
      </c>
      <c r="F14" s="9">
        <f>F13/F5</f>
        <v/>
      </c>
      <c r="G14" s="9">
        <f>G13/G5</f>
        <v/>
      </c>
      <c r="H14" s="9">
        <f>H13/H5</f>
        <v/>
      </c>
      <c r="I14" s="9">
        <f>I13/I5</f>
        <v/>
      </c>
      <c r="J14" s="9">
        <f>J13/J5</f>
        <v/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BALANCE SHEET (summary, $M)</t>
        </is>
      </c>
    </row>
    <row r="4">
      <c r="A4" s="3" t="inlineStr">
        <is>
          <t>($ in millions)</t>
        </is>
      </c>
      <c r="C4" s="4" t="inlineStr">
        <is>
          <t>FY2024A</t>
        </is>
      </c>
      <c r="D4" s="4" t="inlineStr">
        <is>
          <t>FY2025A</t>
        </is>
      </c>
      <c r="E4" s="4" t="inlineStr">
        <is>
          <t>FY2026A</t>
        </is>
      </c>
      <c r="F4" s="4" t="inlineStr">
        <is>
          <t>FY2027E</t>
        </is>
      </c>
      <c r="G4" s="4" t="inlineStr">
        <is>
          <t>FY2028E</t>
        </is>
      </c>
      <c r="H4" s="4" t="inlineStr">
        <is>
          <t>FY2029E</t>
        </is>
      </c>
      <c r="I4" s="4" t="inlineStr">
        <is>
          <t>FY2030E</t>
        </is>
      </c>
      <c r="J4" s="4" t="inlineStr">
        <is>
          <t>FY2031E</t>
        </is>
      </c>
    </row>
    <row r="5">
      <c r="A5" s="5" t="inlineStr">
        <is>
          <t>Cash &amp; equivalents</t>
        </is>
      </c>
      <c r="C5" s="6" t="n">
        <v>9000</v>
      </c>
      <c r="D5" s="6" t="n">
        <v>9900</v>
      </c>
      <c r="E5" s="6" t="n">
        <v>11000</v>
      </c>
      <c r="F5" s="14">
        <f>E5+'Cash Flow'!F13-F10-F11</f>
        <v/>
      </c>
      <c r="G5" s="14">
        <f>F5+'Cash Flow'!G13-G10-G11</f>
        <v/>
      </c>
      <c r="H5" s="14">
        <f>G5+'Cash Flow'!H13-H10-H11</f>
        <v/>
      </c>
      <c r="I5" s="14">
        <f>H5+'Cash Flow'!I13-I10-I11</f>
        <v/>
      </c>
      <c r="J5" s="14">
        <f>I5+'Cash Flow'!J13-J10-J11</f>
        <v/>
      </c>
    </row>
    <row r="6">
      <c r="A6" s="5" t="inlineStr">
        <is>
          <t>Other assets (plug)</t>
        </is>
      </c>
      <c r="C6" s="14">
        <f>C7+C8-C5</f>
        <v/>
      </c>
      <c r="D6" s="14">
        <f>D7+D8-D5</f>
        <v/>
      </c>
      <c r="E6" s="14">
        <f>E7+E8-E5</f>
        <v/>
      </c>
      <c r="F6" s="14">
        <f>F7+F8-F5</f>
        <v/>
      </c>
      <c r="G6" s="14">
        <f>G7+G8-G5</f>
        <v/>
      </c>
      <c r="H6" s="14">
        <f>H7+H8-H5</f>
        <v/>
      </c>
      <c r="I6" s="14">
        <f>I7+I8-I5</f>
        <v/>
      </c>
      <c r="J6" s="14">
        <f>J7+J8-J5</f>
        <v/>
      </c>
    </row>
    <row r="7">
      <c r="A7" s="5" t="inlineStr">
        <is>
          <t>Total debt</t>
        </is>
      </c>
      <c r="C7" s="6" t="n">
        <v>60000</v>
      </c>
      <c r="D7" s="6" t="n">
        <v>61000</v>
      </c>
      <c r="E7" s="6" t="n">
        <v>60000</v>
      </c>
      <c r="F7" s="14">
        <f>E7-F10</f>
        <v/>
      </c>
      <c r="G7" s="14">
        <f>F7-G10</f>
        <v/>
      </c>
      <c r="H7" s="14">
        <f>G7-H10</f>
        <v/>
      </c>
      <c r="I7" s="14">
        <f>H7-I10</f>
        <v/>
      </c>
      <c r="J7" s="14">
        <f>I7-J10</f>
        <v/>
      </c>
    </row>
    <row r="8">
      <c r="A8" s="5" t="inlineStr">
        <is>
          <t>Shareholders' equity</t>
        </is>
      </c>
      <c r="C8" s="6" t="n">
        <v>83861</v>
      </c>
      <c r="D8" s="6" t="n">
        <v>91013</v>
      </c>
      <c r="E8" s="6" t="n">
        <v>95000</v>
      </c>
      <c r="F8" s="14">
        <f>E8+'Income Statement'!F13-F11</f>
        <v/>
      </c>
      <c r="G8" s="14">
        <f>F8+'Income Statement'!G13-G11</f>
        <v/>
      </c>
      <c r="H8" s="14">
        <f>G8+'Income Statement'!H13-H11</f>
        <v/>
      </c>
      <c r="I8" s="14">
        <f>H8+'Income Statement'!I13-I11</f>
        <v/>
      </c>
      <c r="J8" s="14">
        <f>I8+'Income Statement'!J13-J11</f>
        <v/>
      </c>
    </row>
    <row r="9">
      <c r="A9" s="7" t="inlineStr">
        <is>
          <t>Net debt</t>
        </is>
      </c>
      <c r="C9" s="8">
        <f>C7-C5</f>
        <v/>
      </c>
      <c r="D9" s="8">
        <f>D7-D5</f>
        <v/>
      </c>
      <c r="E9" s="8">
        <f>E7-E5</f>
        <v/>
      </c>
      <c r="F9" s="8">
        <f>F7-F5</f>
        <v/>
      </c>
      <c r="G9" s="8">
        <f>G7-G5</f>
        <v/>
      </c>
      <c r="H9" s="8">
        <f>H7-H5</f>
        <v/>
      </c>
      <c r="I9" s="8">
        <f>I7-I5</f>
        <v/>
      </c>
      <c r="J9" s="8">
        <f>J7-J5</f>
        <v/>
      </c>
    </row>
    <row r="10">
      <c r="A10" s="5" t="inlineStr">
        <is>
          <t>Debt repayment (in year)</t>
        </is>
      </c>
      <c r="F10" s="6" t="n">
        <v>2000</v>
      </c>
      <c r="G10" s="6" t="n">
        <v>2000</v>
      </c>
      <c r="H10" s="6" t="n">
        <v>2000</v>
      </c>
      <c r="I10" s="6" t="n">
        <v>1500</v>
      </c>
      <c r="J10" s="6" t="n">
        <v>1500</v>
      </c>
    </row>
    <row r="11">
      <c r="A11" s="5" t="inlineStr">
        <is>
          <t>Dividends + buybacks</t>
        </is>
      </c>
      <c r="F11" s="6" t="n">
        <v>15000</v>
      </c>
      <c r="G11" s="6" t="n">
        <v>16000</v>
      </c>
      <c r="H11" s="6" t="n">
        <v>17500</v>
      </c>
      <c r="I11" s="6" t="n">
        <v>19000</v>
      </c>
      <c r="J11" s="6" t="n">
        <v>20500</v>
      </c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CASH FLOW &amp; FREE CASH FLOW ($M)</t>
        </is>
      </c>
    </row>
    <row r="4">
      <c r="A4" s="3" t="inlineStr">
        <is>
          <t>($ in millions)</t>
        </is>
      </c>
      <c r="C4" s="4" t="inlineStr">
        <is>
          <t>FY2024A</t>
        </is>
      </c>
      <c r="D4" s="4" t="inlineStr">
        <is>
          <t>FY2025A</t>
        </is>
      </c>
      <c r="E4" s="4" t="inlineStr">
        <is>
          <t>FY2026A</t>
        </is>
      </c>
      <c r="F4" s="4" t="inlineStr">
        <is>
          <t>FY2027E</t>
        </is>
      </c>
      <c r="G4" s="4" t="inlineStr">
        <is>
          <t>FY2028E</t>
        </is>
      </c>
      <c r="H4" s="4" t="inlineStr">
        <is>
          <t>FY2029E</t>
        </is>
      </c>
      <c r="I4" s="4" t="inlineStr">
        <is>
          <t>FY2030E</t>
        </is>
      </c>
      <c r="J4" s="4" t="inlineStr">
        <is>
          <t>FY2031E</t>
        </is>
      </c>
    </row>
    <row r="5">
      <c r="A5" s="5" t="inlineStr">
        <is>
          <t>EBIT</t>
        </is>
      </c>
      <c r="C5" s="14">
        <f>'Income Statement'!C7</f>
        <v/>
      </c>
      <c r="D5" s="14">
        <f>'Income Statement'!D7</f>
        <v/>
      </c>
      <c r="E5" s="14">
        <f>'Income Statement'!E7</f>
        <v/>
      </c>
      <c r="F5" s="14">
        <f>'Income Statement'!F7</f>
        <v/>
      </c>
      <c r="G5" s="14">
        <f>'Income Statement'!G7</f>
        <v/>
      </c>
      <c r="H5" s="14">
        <f>'Income Statement'!H7</f>
        <v/>
      </c>
      <c r="I5" s="14">
        <f>'Income Statement'!I7</f>
        <v/>
      </c>
      <c r="J5" s="14">
        <f>'Income Statement'!J7</f>
        <v/>
      </c>
    </row>
    <row r="6">
      <c r="A6" s="5" t="inlineStr">
        <is>
          <t>(-) Cash taxes on EBIT</t>
        </is>
      </c>
      <c r="C6" s="14">
        <f>C5*Drivers!C22</f>
        <v/>
      </c>
      <c r="D6" s="14">
        <f>D5*Drivers!D22</f>
        <v/>
      </c>
      <c r="E6" s="14">
        <f>E5*Drivers!E22</f>
        <v/>
      </c>
      <c r="F6" s="14">
        <f>F5*Drivers!F22</f>
        <v/>
      </c>
      <c r="G6" s="14">
        <f>G5*Drivers!G22</f>
        <v/>
      </c>
      <c r="H6" s="14">
        <f>H5*Drivers!H22</f>
        <v/>
      </c>
      <c r="I6" s="14">
        <f>I5*Drivers!I22</f>
        <v/>
      </c>
      <c r="J6" s="14">
        <f>J5*Drivers!J22</f>
        <v/>
      </c>
    </row>
    <row r="7">
      <c r="A7" s="5" t="inlineStr">
        <is>
          <t>NOPAT</t>
        </is>
      </c>
      <c r="C7" s="8">
        <f>C5-C6</f>
        <v/>
      </c>
      <c r="D7" s="8">
        <f>D5-D6</f>
        <v/>
      </c>
      <c r="E7" s="8">
        <f>E5-E6</f>
        <v/>
      </c>
      <c r="F7" s="8">
        <f>F5-F6</f>
        <v/>
      </c>
      <c r="G7" s="8">
        <f>G5-G6</f>
        <v/>
      </c>
      <c r="H7" s="8">
        <f>H5-H6</f>
        <v/>
      </c>
      <c r="I7" s="8">
        <f>I5-I6</f>
        <v/>
      </c>
      <c r="J7" s="8">
        <f>J5-J6</f>
        <v/>
      </c>
    </row>
    <row r="8">
      <c r="A8" s="5" t="inlineStr">
        <is>
          <t>(+) D&amp;A</t>
        </is>
      </c>
      <c r="C8" s="14">
        <f>'Income Statement'!C8</f>
        <v/>
      </c>
      <c r="D8" s="14">
        <f>'Income Statement'!D8</f>
        <v/>
      </c>
      <c r="E8" s="14">
        <f>'Income Statement'!E8</f>
        <v/>
      </c>
      <c r="F8" s="14">
        <f>'Income Statement'!F8</f>
        <v/>
      </c>
      <c r="G8" s="14">
        <f>'Income Statement'!G8</f>
        <v/>
      </c>
      <c r="H8" s="14">
        <f>'Income Statement'!H8</f>
        <v/>
      </c>
      <c r="I8" s="14">
        <f>'Income Statement'!I8</f>
        <v/>
      </c>
      <c r="J8" s="14">
        <f>'Income Statement'!J8</f>
        <v/>
      </c>
    </row>
    <row r="9">
      <c r="A9" s="5" t="inlineStr">
        <is>
          <t>(-) Capex</t>
        </is>
      </c>
      <c r="C9" s="14">
        <f>Drivers!C21*Drivers!C9</f>
        <v/>
      </c>
      <c r="D9" s="14">
        <f>Drivers!D21*Drivers!D9</f>
        <v/>
      </c>
      <c r="E9" s="14">
        <f>Drivers!E21*Drivers!E9</f>
        <v/>
      </c>
      <c r="F9" s="14">
        <f>Drivers!F21*Drivers!F9</f>
        <v/>
      </c>
      <c r="G9" s="14">
        <f>Drivers!G21*Drivers!G9</f>
        <v/>
      </c>
      <c r="H9" s="14">
        <f>Drivers!H21*Drivers!H9</f>
        <v/>
      </c>
      <c r="I9" s="14">
        <f>Drivers!I21*Drivers!I9</f>
        <v/>
      </c>
      <c r="J9" s="14">
        <f>Drivers!J21*Drivers!J9</f>
        <v/>
      </c>
    </row>
    <row r="10">
      <c r="A10" s="5" t="inlineStr">
        <is>
          <t>(-) Increase in net working capital</t>
        </is>
      </c>
      <c r="C10" s="14">
        <f>0</f>
        <v/>
      </c>
      <c r="D10" s="14">
        <f>(Drivers!D9-Drivers!C9)*Drivers!D23</f>
        <v/>
      </c>
      <c r="E10" s="14">
        <f>(Drivers!E9-Drivers!D9)*Drivers!E23</f>
        <v/>
      </c>
      <c r="F10" s="14">
        <f>(Drivers!F9-Drivers!E9)*Drivers!F23</f>
        <v/>
      </c>
      <c r="G10" s="14">
        <f>(Drivers!G9-Drivers!F9)*Drivers!G23</f>
        <v/>
      </c>
      <c r="H10" s="14">
        <f>(Drivers!H9-Drivers!G9)*Drivers!H23</f>
        <v/>
      </c>
      <c r="I10" s="14">
        <f>(Drivers!I9-Drivers!H9)*Drivers!I23</f>
        <v/>
      </c>
      <c r="J10" s="14">
        <f>(Drivers!J9-Drivers!I9)*Drivers!J23</f>
        <v/>
      </c>
    </row>
    <row r="11">
      <c r="A11" s="7" t="inlineStr">
        <is>
          <t>Unlevered free cash flow</t>
        </is>
      </c>
      <c r="C11" s="17">
        <f>C7+C8-C9-C10</f>
        <v/>
      </c>
      <c r="D11" s="17">
        <f>D7+D8-D9-D10</f>
        <v/>
      </c>
      <c r="E11" s="17">
        <f>E7+E8-E9-E10</f>
        <v/>
      </c>
      <c r="F11" s="17">
        <f>F7+F8-F9-F10</f>
        <v/>
      </c>
      <c r="G11" s="17">
        <f>G7+G8-G9-G10</f>
        <v/>
      </c>
      <c r="H11" s="17">
        <f>H7+H8-H9-H10</f>
        <v/>
      </c>
      <c r="I11" s="17">
        <f>I7+I8-I9-I10</f>
        <v/>
      </c>
      <c r="J11" s="17">
        <f>J7+J8-J9-J10</f>
        <v/>
      </c>
    </row>
    <row r="12">
      <c r="A12" s="5" t="inlineStr">
        <is>
          <t>(-) After-tax net interest</t>
        </is>
      </c>
      <c r="C12" s="14">
        <f>'Income Statement'!C10*(1-Drivers!C22)</f>
        <v/>
      </c>
      <c r="D12" s="14">
        <f>'Income Statement'!D10*(1-Drivers!D22)</f>
        <v/>
      </c>
      <c r="E12" s="14">
        <f>'Income Statement'!E10*(1-Drivers!E22)</f>
        <v/>
      </c>
      <c r="F12" s="14">
        <f>'Income Statement'!F10*(1-Drivers!F22)</f>
        <v/>
      </c>
      <c r="G12" s="14">
        <f>'Income Statement'!G10*(1-Drivers!G22)</f>
        <v/>
      </c>
      <c r="H12" s="14">
        <f>'Income Statement'!H10*(1-Drivers!H22)</f>
        <v/>
      </c>
      <c r="I12" s="14">
        <f>'Income Statement'!I10*(1-Drivers!I22)</f>
        <v/>
      </c>
      <c r="J12" s="14">
        <f>'Income Statement'!J10*(1-Drivers!J22)</f>
        <v/>
      </c>
    </row>
    <row r="13">
      <c r="A13" s="7" t="inlineStr">
        <is>
          <t>Levered free cash flow</t>
        </is>
      </c>
      <c r="C13" s="8">
        <f>C11-C12</f>
        <v/>
      </c>
      <c r="D13" s="8">
        <f>D11-D12</f>
        <v/>
      </c>
      <c r="E13" s="8">
        <f>E11-E12</f>
        <v/>
      </c>
      <c r="F13" s="8">
        <f>F11-F12</f>
        <v/>
      </c>
      <c r="G13" s="8">
        <f>G11-G12</f>
        <v/>
      </c>
      <c r="H13" s="8">
        <f>H11-H12</f>
        <v/>
      </c>
      <c r="I13" s="8">
        <f>I11-I12</f>
        <v/>
      </c>
      <c r="J13" s="8">
        <f>J11-J12</f>
        <v/>
      </c>
    </row>
    <row r="14">
      <c r="A14" s="5" t="inlineStr">
        <is>
          <t>Unlevered FCF margin %</t>
        </is>
      </c>
      <c r="C14" s="9">
        <f>C11/Drivers!C9</f>
        <v/>
      </c>
      <c r="D14" s="9">
        <f>D11/Drivers!D9</f>
        <v/>
      </c>
      <c r="E14" s="9">
        <f>E11/Drivers!E9</f>
        <v/>
      </c>
      <c r="F14" s="9">
        <f>F11/Drivers!F9</f>
        <v/>
      </c>
      <c r="G14" s="9">
        <f>G11/Drivers!G9</f>
        <v/>
      </c>
      <c r="H14" s="9">
        <f>H11/Drivers!H9</f>
        <v/>
      </c>
      <c r="I14" s="9">
        <f>I11/Drivers!I9</f>
        <v/>
      </c>
      <c r="J14" s="9">
        <f>J11/Drivers!J9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DISCOUNTED CASH FLOW VALUATION</t>
        </is>
      </c>
    </row>
    <row r="4">
      <c r="A4" s="18" t="inlineStr">
        <is>
          <t>Projection year</t>
        </is>
      </c>
      <c r="B4" s="4" t="inlineStr">
        <is>
          <t>FY2027E</t>
        </is>
      </c>
      <c r="C4" s="4" t="inlineStr">
        <is>
          <t>FY2028E</t>
        </is>
      </c>
      <c r="D4" s="4" t="inlineStr">
        <is>
          <t>FY2029E</t>
        </is>
      </c>
      <c r="E4" s="4" t="inlineStr">
        <is>
          <t>FY2030E</t>
        </is>
      </c>
      <c r="F4" s="4" t="inlineStr">
        <is>
          <t>FY2031E</t>
        </is>
      </c>
    </row>
    <row r="5">
      <c r="A5" s="11" t="inlineStr">
        <is>
          <t>Period (n)</t>
        </is>
      </c>
      <c r="B5" s="14">
        <f>1</f>
        <v/>
      </c>
      <c r="C5" s="14">
        <f>2</f>
        <v/>
      </c>
      <c r="D5" s="14">
        <f>3</f>
        <v/>
      </c>
      <c r="E5" s="14">
        <f>4</f>
        <v/>
      </c>
      <c r="F5" s="14">
        <f>5</f>
        <v/>
      </c>
    </row>
    <row r="6">
      <c r="A6" s="11" t="inlineStr">
        <is>
          <t>Unlevered FCF</t>
        </is>
      </c>
      <c r="B6" s="14">
        <f>'Cash Flow'!F11</f>
        <v/>
      </c>
      <c r="C6" s="14">
        <f>'Cash Flow'!G11</f>
        <v/>
      </c>
      <c r="D6" s="14">
        <f>'Cash Flow'!H11</f>
        <v/>
      </c>
      <c r="E6" s="14">
        <f>'Cash Flow'!I11</f>
        <v/>
      </c>
      <c r="F6" s="14">
        <f>'Cash Flow'!J11</f>
        <v/>
      </c>
    </row>
    <row r="7">
      <c r="A7" s="11" t="inlineStr">
        <is>
          <t>Discount factor @ WACC</t>
        </is>
      </c>
      <c r="B7" s="19">
        <f>1/(1+Drivers!C43)^B5</f>
        <v/>
      </c>
      <c r="C7" s="19">
        <f>1/(1+Drivers!C43)^C5</f>
        <v/>
      </c>
      <c r="D7" s="19">
        <f>1/(1+Drivers!C43)^D5</f>
        <v/>
      </c>
      <c r="E7" s="19">
        <f>1/(1+Drivers!C43)^E5</f>
        <v/>
      </c>
      <c r="F7" s="19">
        <f>1/(1+Drivers!C43)^F5</f>
        <v/>
      </c>
    </row>
    <row r="8">
      <c r="A8" s="15" t="inlineStr">
        <is>
          <t>PV of unlevered FCF</t>
        </is>
      </c>
      <c r="B8" s="14">
        <f>B6*B7</f>
        <v/>
      </c>
      <c r="C8" s="14">
        <f>C6*C7</f>
        <v/>
      </c>
      <c r="D8" s="14">
        <f>D6*D7</f>
        <v/>
      </c>
      <c r="E8" s="14">
        <f>E6*E7</f>
        <v/>
      </c>
      <c r="F8" s="14">
        <f>F6*F7</f>
        <v/>
      </c>
    </row>
    <row r="10">
      <c r="A10" s="11" t="inlineStr">
        <is>
          <t>Sum of PV of explicit FCF (FY27-31)</t>
        </is>
      </c>
      <c r="C10" s="14">
        <f>SUM(B8:F8)</f>
        <v/>
      </c>
    </row>
    <row r="11">
      <c r="A11" s="11" t="inlineStr">
        <is>
          <t>Terminal-year FCF (FY2031)</t>
        </is>
      </c>
      <c r="C11" s="14">
        <f>F6</f>
        <v/>
      </c>
    </row>
    <row r="12">
      <c r="A12" s="11" t="inlineStr">
        <is>
          <t>Terminal value (Gordon)</t>
        </is>
      </c>
      <c r="C12" s="14">
        <f>F6*(1+Drivers!C34)/(Drivers!C43-Drivers!C34)</f>
        <v/>
      </c>
    </row>
    <row r="13">
      <c r="A13" s="11" t="inlineStr">
        <is>
          <t>PV of terminal value</t>
        </is>
      </c>
      <c r="C13" s="14">
        <f>C12*F7</f>
        <v/>
      </c>
    </row>
    <row r="14">
      <c r="A14" s="15" t="inlineStr">
        <is>
          <t>Enterprise value</t>
        </is>
      </c>
      <c r="C14" s="8">
        <f>C10+C13</f>
        <v/>
      </c>
    </row>
    <row r="15">
      <c r="A15" s="11" t="inlineStr">
        <is>
          <t>(-) Net debt</t>
        </is>
      </c>
      <c r="C15" s="14">
        <f>Drivers!C28-Drivers!C29</f>
        <v/>
      </c>
    </row>
    <row r="16">
      <c r="A16" s="11" t="inlineStr">
        <is>
          <t>Equity value</t>
        </is>
      </c>
      <c r="C16" s="14">
        <f>C14-C15</f>
        <v/>
      </c>
    </row>
    <row r="17">
      <c r="A17" s="11" t="inlineStr">
        <is>
          <t>Diluted shares (M)</t>
        </is>
      </c>
      <c r="C17" s="14">
        <f>Drivers!C27</f>
        <v/>
      </c>
    </row>
    <row r="18">
      <c r="A18" s="15" t="inlineStr">
        <is>
          <t>Implied value per share ($)</t>
        </is>
      </c>
      <c r="C18" s="20">
        <f>C16/C17</f>
        <v/>
      </c>
    </row>
    <row r="19">
      <c r="A19" s="11" t="inlineStr">
        <is>
          <t>Current share price ($)</t>
        </is>
      </c>
      <c r="C19" s="21">
        <f>Drivers!C26</f>
        <v/>
      </c>
    </row>
    <row r="20">
      <c r="A20" s="11" t="inlineStr">
        <is>
          <t>Upside / (downside) to current</t>
        </is>
      </c>
      <c r="C20" s="9">
        <f>C18/C19-1</f>
        <v/>
      </c>
    </row>
    <row r="21">
      <c r="A21" s="11" t="inlineStr">
        <is>
          <t>TV as % of enterprise value</t>
        </is>
      </c>
      <c r="C21" s="9">
        <f>C13/C14</f>
        <v/>
      </c>
    </row>
    <row r="22">
      <c r="A22" s="1" t="inlineStr">
        <is>
          <t>SENSITIVITY — Implied $/share: WACC (down) x Terminal growth (across)</t>
        </is>
      </c>
    </row>
    <row r="23">
      <c r="B23" s="3" t="inlineStr">
        <is>
          <t>Terminal g →</t>
        </is>
      </c>
      <c r="C23" s="22" t="n">
        <v>0.015</v>
      </c>
      <c r="D23" s="22" t="n">
        <v>0.02</v>
      </c>
      <c r="E23" s="22" t="n">
        <v>0.025</v>
      </c>
      <c r="F23" s="22" t="n">
        <v>0.03</v>
      </c>
      <c r="G23" s="22" t="n">
        <v>0.035</v>
      </c>
    </row>
    <row r="24">
      <c r="A24" s="3" t="inlineStr">
        <is>
          <t>WACC ↓</t>
        </is>
      </c>
      <c r="B24" s="22" t="n">
        <v>0.06</v>
      </c>
      <c r="C24" s="21">
        <f>(($B$6/(1+$B$24)^1+$C$6/(1+$B$24)^2+$D$6/(1+$B$24)^3+$E$6/(1+$B$24)^4+$F$6/(1+$B$24)^5)+(($F$6*(1+C$23)/($B$24-C$23))/(1+$B$24)^5)-Drivers!$C$28+Drivers!$C$29)/Drivers!$C$27</f>
        <v/>
      </c>
      <c r="D24" s="21">
        <f>(($B$6/(1+$B$24)^1+$C$6/(1+$B$24)^2+$D$6/(1+$B$24)^3+$E$6/(1+$B$24)^4+$F$6/(1+$B$24)^5)+(($F$6*(1+D$23)/($B$24-D$23))/(1+$B$24)^5)-Drivers!$C$28+Drivers!$C$29)/Drivers!$C$27</f>
        <v/>
      </c>
      <c r="E24" s="21">
        <f>(($B$6/(1+$B$24)^1+$C$6/(1+$B$24)^2+$D$6/(1+$B$24)^3+$E$6/(1+$B$24)^4+$F$6/(1+$B$24)^5)+(($F$6*(1+E$23)/($B$24-E$23))/(1+$B$24)^5)-Drivers!$C$28+Drivers!$C$29)/Drivers!$C$27</f>
        <v/>
      </c>
      <c r="F24" s="21">
        <f>(($B$6/(1+$B$24)^1+$C$6/(1+$B$24)^2+$D$6/(1+$B$24)^3+$E$6/(1+$B$24)^4+$F$6/(1+$B$24)^5)+(($F$6*(1+F$23)/($B$24-F$23))/(1+$B$24)^5)-Drivers!$C$28+Drivers!$C$29)/Drivers!$C$27</f>
        <v/>
      </c>
      <c r="G24" s="21">
        <f>(($B$6/(1+$B$24)^1+$C$6/(1+$B$24)^2+$D$6/(1+$B$24)^3+$E$6/(1+$B$24)^4+$F$6/(1+$B$24)^5)+(($F$6*(1+G$23)/($B$24-G$23))/(1+$B$24)^5)-Drivers!$C$28+Drivers!$C$29)/Drivers!$C$27</f>
        <v/>
      </c>
    </row>
    <row r="25">
      <c r="B25" s="22" t="n">
        <v>0.065</v>
      </c>
      <c r="C25" s="21">
        <f>(($B$6/(1+$B$25)^1+$C$6/(1+$B$25)^2+$D$6/(1+$B$25)^3+$E$6/(1+$B$25)^4+$F$6/(1+$B$25)^5)+(($F$6*(1+C$23)/($B$25-C$23))/(1+$B$25)^5)-Drivers!$C$28+Drivers!$C$29)/Drivers!$C$27</f>
        <v/>
      </c>
      <c r="D25" s="21">
        <f>(($B$6/(1+$B$25)^1+$C$6/(1+$B$25)^2+$D$6/(1+$B$25)^3+$E$6/(1+$B$25)^4+$F$6/(1+$B$25)^5)+(($F$6*(1+D$23)/($B$25-D$23))/(1+$B$25)^5)-Drivers!$C$28+Drivers!$C$29)/Drivers!$C$27</f>
        <v/>
      </c>
      <c r="E25" s="21">
        <f>(($B$6/(1+$B$25)^1+$C$6/(1+$B$25)^2+$D$6/(1+$B$25)^3+$E$6/(1+$B$25)^4+$F$6/(1+$B$25)^5)+(($F$6*(1+E$23)/($B$25-E$23))/(1+$B$25)^5)-Drivers!$C$28+Drivers!$C$29)/Drivers!$C$27</f>
        <v/>
      </c>
      <c r="F25" s="21">
        <f>(($B$6/(1+$B$25)^1+$C$6/(1+$B$25)^2+$D$6/(1+$B$25)^3+$E$6/(1+$B$25)^4+$F$6/(1+$B$25)^5)+(($F$6*(1+F$23)/($B$25-F$23))/(1+$B$25)^5)-Drivers!$C$28+Drivers!$C$29)/Drivers!$C$27</f>
        <v/>
      </c>
      <c r="G25" s="21">
        <f>(($B$6/(1+$B$25)^1+$C$6/(1+$B$25)^2+$D$6/(1+$B$25)^3+$E$6/(1+$B$25)^4+$F$6/(1+$B$25)^5)+(($F$6*(1+G$23)/($B$25-G$23))/(1+$B$25)^5)-Drivers!$C$28+Drivers!$C$29)/Drivers!$C$27</f>
        <v/>
      </c>
    </row>
    <row r="26">
      <c r="B26" s="22" t="n">
        <v>0.07000000000000001</v>
      </c>
      <c r="C26" s="21">
        <f>(($B$6/(1+$B$26)^1+$C$6/(1+$B$26)^2+$D$6/(1+$B$26)^3+$E$6/(1+$B$26)^4+$F$6/(1+$B$26)^5)+(($F$6*(1+C$23)/($B$26-C$23))/(1+$B$26)^5)-Drivers!$C$28+Drivers!$C$29)/Drivers!$C$27</f>
        <v/>
      </c>
      <c r="D26" s="21">
        <f>(($B$6/(1+$B$26)^1+$C$6/(1+$B$26)^2+$D$6/(1+$B$26)^3+$E$6/(1+$B$26)^4+$F$6/(1+$B$26)^5)+(($F$6*(1+D$23)/($B$26-D$23))/(1+$B$26)^5)-Drivers!$C$28+Drivers!$C$29)/Drivers!$C$27</f>
        <v/>
      </c>
      <c r="E26" s="23">
        <f>(($B$6/(1+$B$26)^1+$C$6/(1+$B$26)^2+$D$6/(1+$B$26)^3+$E$6/(1+$B$26)^4+$F$6/(1+$B$26)^5)+(($F$6*(1+E$23)/($B$26-E$23))/(1+$B$26)^5)-Drivers!$C$28+Drivers!$C$29)/Drivers!$C$27</f>
        <v/>
      </c>
      <c r="F26" s="21">
        <f>(($B$6/(1+$B$26)^1+$C$6/(1+$B$26)^2+$D$6/(1+$B$26)^3+$E$6/(1+$B$26)^4+$F$6/(1+$B$26)^5)+(($F$6*(1+F$23)/($B$26-F$23))/(1+$B$26)^5)-Drivers!$C$28+Drivers!$C$29)/Drivers!$C$27</f>
        <v/>
      </c>
      <c r="G26" s="21">
        <f>(($B$6/(1+$B$26)^1+$C$6/(1+$B$26)^2+$D$6/(1+$B$26)^3+$E$6/(1+$B$26)^4+$F$6/(1+$B$26)^5)+(($F$6*(1+G$23)/($B$26-G$23))/(1+$B$26)^5)-Drivers!$C$28+Drivers!$C$29)/Drivers!$C$27</f>
        <v/>
      </c>
    </row>
    <row r="27">
      <c r="B27" s="22" t="n">
        <v>0.075</v>
      </c>
      <c r="C27" s="21">
        <f>(($B$6/(1+$B$27)^1+$C$6/(1+$B$27)^2+$D$6/(1+$B$27)^3+$E$6/(1+$B$27)^4+$F$6/(1+$B$27)^5)+(($F$6*(1+C$23)/($B$27-C$23))/(1+$B$27)^5)-Drivers!$C$28+Drivers!$C$29)/Drivers!$C$27</f>
        <v/>
      </c>
      <c r="D27" s="21">
        <f>(($B$6/(1+$B$27)^1+$C$6/(1+$B$27)^2+$D$6/(1+$B$27)^3+$E$6/(1+$B$27)^4+$F$6/(1+$B$27)^5)+(($F$6*(1+D$23)/($B$27-D$23))/(1+$B$27)^5)-Drivers!$C$28+Drivers!$C$29)/Drivers!$C$27</f>
        <v/>
      </c>
      <c r="E27" s="21">
        <f>(($B$6/(1+$B$27)^1+$C$6/(1+$B$27)^2+$D$6/(1+$B$27)^3+$E$6/(1+$B$27)^4+$F$6/(1+$B$27)^5)+(($F$6*(1+E$23)/($B$27-E$23))/(1+$B$27)^5)-Drivers!$C$28+Drivers!$C$29)/Drivers!$C$27</f>
        <v/>
      </c>
      <c r="F27" s="21">
        <f>(($B$6/(1+$B$27)^1+$C$6/(1+$B$27)^2+$D$6/(1+$B$27)^3+$E$6/(1+$B$27)^4+$F$6/(1+$B$27)^5)+(($F$6*(1+F$23)/($B$27-F$23))/(1+$B$27)^5)-Drivers!$C$28+Drivers!$C$29)/Drivers!$C$27</f>
        <v/>
      </c>
      <c r="G27" s="21">
        <f>(($B$6/(1+$B$27)^1+$C$6/(1+$B$27)^2+$D$6/(1+$B$27)^3+$E$6/(1+$B$27)^4+$F$6/(1+$B$27)^5)+(($F$6*(1+G$23)/($B$27-G$23))/(1+$B$27)^5)-Drivers!$C$28+Drivers!$C$29)/Drivers!$C$27</f>
        <v/>
      </c>
    </row>
    <row r="28">
      <c r="B28" s="22" t="n">
        <v>0.08</v>
      </c>
      <c r="C28" s="21">
        <f>(($B$6/(1+$B$28)^1+$C$6/(1+$B$28)^2+$D$6/(1+$B$28)^3+$E$6/(1+$B$28)^4+$F$6/(1+$B$28)^5)+(($F$6*(1+C$23)/($B$28-C$23))/(1+$B$28)^5)-Drivers!$C$28+Drivers!$C$29)/Drivers!$C$27</f>
        <v/>
      </c>
      <c r="D28" s="21">
        <f>(($B$6/(1+$B$28)^1+$C$6/(1+$B$28)^2+$D$6/(1+$B$28)^3+$E$6/(1+$B$28)^4+$F$6/(1+$B$28)^5)+(($F$6*(1+D$23)/($B$28-D$23))/(1+$B$28)^5)-Drivers!$C$28+Drivers!$C$29)/Drivers!$C$27</f>
        <v/>
      </c>
      <c r="E28" s="21">
        <f>(($B$6/(1+$B$28)^1+$C$6/(1+$B$28)^2+$D$6/(1+$B$28)^3+$E$6/(1+$B$28)^4+$F$6/(1+$B$28)^5)+(($F$6*(1+E$23)/($B$28-E$23))/(1+$B$28)^5)-Drivers!$C$28+Drivers!$C$29)/Drivers!$C$27</f>
        <v/>
      </c>
      <c r="F28" s="21">
        <f>(($B$6/(1+$B$28)^1+$C$6/(1+$B$28)^2+$D$6/(1+$B$28)^3+$E$6/(1+$B$28)^4+$F$6/(1+$B$28)^5)+(($F$6*(1+F$23)/($B$28-F$23))/(1+$B$28)^5)-Drivers!$C$28+Drivers!$C$29)/Drivers!$C$27</f>
        <v/>
      </c>
      <c r="G28" s="21">
        <f>(($B$6/(1+$B$28)^1+$C$6/(1+$B$28)^2+$D$6/(1+$B$28)^3+$E$6/(1+$B$28)^4+$F$6/(1+$B$28)^5)+(($F$6*(1+G$23)/($B$28-G$23))/(1+$B$28)^5)-Drivers!$C$28+Drivers!$C$29)/Drivers!$C$27</f>
        <v/>
      </c>
    </row>
    <row r="30">
      <c r="A30" s="3" t="inlineStr">
        <is>
          <t>Center cell (WACC 7.0% / g 2.5%) = base case; cross-check vs C18 implied per share.</t>
        </is>
      </c>
    </row>
  </sheetData>
  <mergeCells count="3">
    <mergeCell ref="A30:H30"/>
    <mergeCell ref="A22:H2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WMT MODEL — METHODOLOGY &amp; CAVEATS</t>
        </is>
      </c>
    </row>
    <row r="3">
      <c r="A3" s="18" t="inlineStr">
        <is>
          <t>Methodology</t>
        </is>
      </c>
    </row>
    <row r="4" ht="16" customHeight="1">
      <c r="A4" s="24" t="inlineStr">
        <is>
          <t>Integrated 3-statement model (IS/BS/CF) feeding an unlevered DCF. Drivers tab drives everything.</t>
        </is>
      </c>
    </row>
    <row r="5" ht="16" customHeight="1">
      <c r="A5" s="24" t="inlineStr">
        <is>
          <t>Revenue built bottom-up: Walmart US + Walmart International + Sam's Club.</t>
        </is>
      </c>
    </row>
    <row r="6" ht="16" customHeight="1">
      <c r="A6" s="24" t="inlineStr">
        <is>
          <t>Separate visibility on the WMT thesis margin lever: Walmart Connect ad revenue + membership.</t>
        </is>
      </c>
    </row>
    <row r="7" ht="16" customHeight="1">
      <c r="A7" s="24" t="inlineStr">
        <is>
          <t>DCF: 5-year explicit FCF (FY27-31) + Gordon terminal value; net debt deducted to get equity.</t>
        </is>
      </c>
    </row>
    <row r="9">
      <c r="A9" s="18" t="inlineStr">
        <is>
          <t>Base case stance</t>
        </is>
      </c>
    </row>
    <row r="10" ht="16" customHeight="1">
      <c r="A10" s="24" t="inlineStr">
        <is>
          <t>WMT US +5%/yr (sustained comp +3-4% + new units); Intl +7-8% (Flipkart, Walmex); Sam's +5-6%.</t>
        </is>
      </c>
    </row>
    <row r="11" ht="16" customHeight="1">
      <c r="A11" s="24" t="inlineStr">
        <is>
          <t>EBIT margin expands 4.5% (FY26) -&gt; 5.3% (FY31) as ad+marketplace+membership mix lifts margin.</t>
        </is>
      </c>
    </row>
    <row r="12" ht="16" customHeight="1">
      <c r="A12" s="24" t="inlineStr">
        <is>
          <t>Walmart Connect ramps ~$5.5B (FY26) -&gt; ~$15.5B (FY31) at ~40% EBIT margin per mgmt.</t>
        </is>
      </c>
    </row>
    <row r="13" ht="16" customHeight="1">
      <c r="A13" s="24" t="inlineStr">
        <is>
          <t>Lower WACC (~7%) and terminal growth (2.5%) than AVGO — defensive consumer-staple profile.</t>
        </is>
      </c>
    </row>
    <row r="15">
      <c r="A15" s="18" t="inlineStr">
        <is>
          <t>Data sources &amp; caveats</t>
        </is>
      </c>
    </row>
    <row r="16" ht="16" customHeight="1">
      <c r="A16" s="24" t="inlineStr">
        <is>
          <t>WMT 10-K FY26 (Mar 2026), FY25 / FY24 10-Ks; segment splits per management disclosure (partly [E]).</t>
        </is>
      </c>
    </row>
    <row r="17" ht="16" customHeight="1">
      <c r="A17" s="24" t="inlineStr">
        <is>
          <t>MCP terminal connectors (CapIQ/FactSet/Daloopa) NOT configured in environment.</t>
        </is>
      </c>
    </row>
    <row r="18" ht="16" customHeight="1">
      <c r="A18" s="24" t="inlineStr">
        <is>
          <t>Walmart Connect ad-revenue figures are mgmt commentary aggregates — not separately reported line items.</t>
        </is>
      </c>
    </row>
    <row r="19" ht="16" customHeight="1">
      <c r="A19" s="24" t="inlineStr">
        <is>
          <t>Terminal value typically ~65-70% of EV — sensitive but less so than a high-growth name like AVGO.</t>
        </is>
      </c>
    </row>
    <row r="20" ht="16" customHeight="1">
      <c r="A20" s="24" t="inlineStr">
        <is>
          <t>Research / decision-framing only — NOT investment advice.</t>
        </is>
      </c>
    </row>
  </sheetData>
  <mergeCells count="17">
    <mergeCell ref="A12:E12"/>
    <mergeCell ref="A4:E4"/>
    <mergeCell ref="A18:E18"/>
    <mergeCell ref="A20:E20"/>
    <mergeCell ref="A16:E16"/>
    <mergeCell ref="A15:E15"/>
    <mergeCell ref="A7:E7"/>
    <mergeCell ref="A10:E10"/>
    <mergeCell ref="A19:E19"/>
    <mergeCell ref="A11:E11"/>
    <mergeCell ref="A1:E1"/>
    <mergeCell ref="A5:E5"/>
    <mergeCell ref="A13:E13"/>
    <mergeCell ref="A6:E6"/>
    <mergeCell ref="A17:E17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2026-06-04T06:13:20Z</dcterms:created>
  <dcterms:modified xmlns:dcterms="http://purl.org/dc/terms/" xmlns:xsi="http://www.w3.org/2001/XMLSchema-instance" xsi:type="dcterms:W3CDTF">2026-06-04T06:13:20Z</dcterms:modified>
</cp:coreProperties>
</file>
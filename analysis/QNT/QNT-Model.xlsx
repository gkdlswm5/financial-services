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Income Statement" sheetId="6" state="visible" r:id="rId6"/>
    <sheet xmlns:r="http://schemas.openxmlformats.org/officeDocument/2006/relationships" name="Driv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&quot;$&quot;#,##0.00"/>
    <numFmt numFmtId="167" formatCode="0.0&quot;x&quot;"/>
  </numFmts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595959"/>
      <sz val="10"/>
    </font>
    <font>
      <name val="Times New Roman"/>
      <b val="1"/>
      <color rgb="0017365D"/>
      <sz val="11"/>
    </font>
    <font>
      <name val="Times New Roman"/>
      <b val="1"/>
      <sz val="11"/>
    </font>
    <font>
      <name val="Times New Roman"/>
      <color rgb="00000000"/>
      <sz val="11"/>
    </font>
    <font>
      <name val="Times New Roman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6" fontId="4" fillId="6" borderId="0" applyAlignment="1" pivotButton="0" quotePrefix="0" xfId="0">
      <alignment horizontal="right" vertical="center"/>
    </xf>
    <xf numFmtId="0" fontId="4" fillId="0" borderId="0" pivotButton="0" quotePrefix="0" xfId="0"/>
    <xf numFmtId="166" fontId="4" fillId="3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</author>
  </authors>
  <commentList>
    <comment ref="C15" authorId="0" shapeId="0">
      <text>
        <t>$677M pre-IPO + $1,580M IPO net + $80M ITM warrants/options [E]</t>
      </text>
    </comment>
    <comment ref="C16" authorId="0" shapeId="0">
      <text>
        <t>S-1: minimal debt</t>
      </text>
    </comment>
    <comment ref="C20" authorId="0" shapeId="0">
      <text>
        <t>QNT first-trade open, Jun 4 2026</t>
      </text>
    </comment>
    <comment ref="C32" authorId="0" shapeId="0">
      <text>
        <t>Mature high-growth tech: 8x EV/Rev (vs IONQ ~120x today, AVGO ~13x, ORCL ~8x). [E]</t>
      </text>
    </comment>
    <comment ref="C37" authorId="0" shapeId="0">
      <text>
        <t>McKinsey QC market 2035 midpoint: $43-71B → use $50B base [E]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C6" authorId="0" shapeId="0">
      <text>
        <t>Stock-comp typical ~50% of R&amp;D for pre-profit QC names (IONQ, RGTI). Compresses as company matures. [E]</t>
      </text>
    </comment>
    <comment ref="D6" authorId="0" shapeId="0">
      <text>
        <t>Stock-comp typical ~50% of R&amp;D for pre-profit QC names (IONQ, RGTI). Compresses as company matures. [E]</t>
      </text>
    </comment>
    <comment ref="E14" authorId="0" shapeId="0">
      <text>
        <t>IPO net proceeds: 28M shares x $60 = $1,680M gross, less ~6% underwriting fees = ~$1,580M net. Jun 2026.</t>
      </text>
    </comment>
    <comment ref="C15" authorId="0" shapeId="0">
      <text>
        <t>Approx cash 12/31/24 [E]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C6" authorId="0" shapeId="0">
      <text>
        <t>S-1: RIKEN 63% of FY24 / 60% of FY25 / 7% of Q1'26. Post-install winds down to maintenance, then zero by FY30E. [E]</t>
      </text>
    </comment>
    <comment ref="D6" authorId="0" shapeId="0">
      <text>
        <t>S-1: RIKEN 63% of FY24 / 60% of FY25 / 7% of Q1'26. Post-install winds down to maintenance, then zero by FY30E. [E]</t>
      </text>
    </comment>
    <comment ref="E6" authorId="0" shapeId="0">
      <text>
        <t>S-1: RIKEN 63% of FY24 / 60% of FY25 / 7% of Q1'26. Post-install winds down to maintenance, then zero by FY30E. [E]</t>
      </text>
    </comment>
    <comment ref="C7" authorId="0" shapeId="0">
      <text>
        <t>Helios launched Nov 2025: Amgen, BMW, JPMC, SoftBank launch customers. Cloud + on-prem scale-out. Ramp accelerates with Sol (2027) and Apollo (2029). [E]</t>
      </text>
    </comment>
    <comment ref="D7" authorId="0" shapeId="0">
      <text>
        <t>Helios launched Nov 2025: Amgen, BMW, JPMC, SoftBank launch customers. Cloud + on-prem scale-out. Ramp accelerates with Sol (2027) and Apollo (2029). [E]</t>
      </text>
    </comment>
    <comment ref="E7" authorId="0" shapeId="0">
      <text>
        <t>Helios launched Nov 2025: Amgen, BMW, JPMC, SoftBank launch customers. Cloud + on-prem scale-out. Ramp accelerates with Sol (2027) and Apollo (2029). [E]</t>
      </text>
    </comment>
    <comment ref="F7" authorId="0" shapeId="0">
      <text>
        <t>Helios launched Nov 2025: Amgen, BMW, JPMC, SoftBank launch customers. Cloud + on-prem scale-out. Ramp accelerates with Sol (2027) and Apollo (2029). [E]</t>
      </text>
    </comment>
    <comment ref="C8" authorId="0" shapeId="0">
      <text>
        <t>Quantum Origin (RNG/encryption keys SaaS) + InQuanto (quantum chemistry software). Higher-margin recurring revenue stream. [E]</t>
      </text>
    </comment>
    <comment ref="D8" authorId="0" shapeId="0">
      <text>
        <t>Quantum Origin (RNG/encryption keys SaaS) + InQuanto (quantum chemistry software). Higher-margin recurring revenue stream. [E]</t>
      </text>
    </comment>
    <comment ref="C9" authorId="0" shapeId="0">
      <text>
        <t>DARPA QBI Stage B ($1-15M) + planned $100M CHIPS Act LOI (May 2026). Lumpy but growing government commercialization. [E]</t>
      </text>
    </comment>
    <comment ref="D9" authorId="0" shapeId="0">
      <text>
        <t>DARPA QBI Stage B ($1-15M) + planned $100M CHIPS Act LOI (May 2026). Lumpy but growing government commercialization. [E]</t>
      </text>
    </comment>
    <comment ref="C14" authorId="0" shapeId="0">
      <text>
        <t>Hardware system sales low/negative GM; software SaaS (Quantum Origin, InQuanto) high GM. Mix shift drives expansion. [E] not disclosed in S-1 summary.</t>
      </text>
    </comment>
    <comment ref="D14" authorId="0" shapeId="0">
      <text>
        <t>Hardware system sales low/negative GM; software SaaS (Quantum Origin, InQuanto) high GM. Mix shift drives expansion. [E] not disclosed in S-1 summary.</t>
      </text>
    </comment>
    <comment ref="C15" authorId="0" shapeId="0">
      <text>
        <t>S-1: FY25 R&amp;D $165M / revenue $31M = 540%. Pre-revenue R&amp;D-heavy phase. Compresses as revenue scales; absolute R&amp;D continues growing through Apollo (2029).</t>
      </text>
    </comment>
    <comment ref="D15" authorId="0" shapeId="0">
      <text>
        <t>S-1: FY25 R&amp;D $165M / revenue $31M = 540%. Pre-revenue R&amp;D-heavy phase. Compresses as revenue scales; absolute R&amp;D continues growing through Apollo (2029).</t>
      </text>
    </comment>
    <comment ref="C19" authorId="0" shapeId="0">
      <text>
        <t>S-1: post-IPO 25.9M Class A + 228.0M Class B = 253.9M total. Forward dilution ~4% p.a. for stock comp [E].</t>
      </text>
    </comment>
    <comment ref="D19" authorId="0" shapeId="0">
      <text>
        <t>S-1: post-IPO 25.9M Class A + 228.0M Class B = 253.9M total. Forward dilution ~4% p.a. for stock comp [E].</t>
      </text>
    </comment>
    <comment ref="E19" authorId="0" shapeId="0">
      <text>
        <t>S-1: post-IPO 25.9M Class A + 228.0M Class B = 253.9M total. Forward dilution ~4% p.a. for stock comp [E].</t>
      </text>
    </comment>
    <comment ref="C24" authorId="0" shapeId="0">
      <text>
        <t>10Y UST yield, May 2026 average [E]</t>
      </text>
    </comment>
    <comment ref="C25" authorId="0" shapeId="0">
      <text>
        <t>Damodaran ERP, higher than AVGO 5.0% reflecting pre-profit / IPO risk premium</t>
      </text>
    </comment>
    <comment ref="C26" authorId="0" shapeId="0">
      <text>
        <t>IONQ beta ~2.0-2.2; QBTS beta ~2.5; pre-profit tech / IPO premium beta. [E]</t>
      </text>
    </comment>
    <comment ref="C28" authorId="0" shapeId="0">
      <text>
        <t>QC market growing well above GDP through 2040; 4.0% terminal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 notes &amp; assumptions</t>
        </is>
      </c>
    </row>
    <row r="2">
      <c r="A2" s="2" t="inlineStr"/>
    </row>
    <row r="3">
      <c r="A3" s="3" t="inlineStr">
        <is>
          <t>STRUCTURE</t>
        </is>
      </c>
    </row>
    <row r="4">
      <c r="A4" s="2" t="inlineStr">
        <is>
          <t xml:space="preserve">  • 12-year horizon (FY24A FY25A FY26E-FY35E) — required for pre-profit</t>
        </is>
      </c>
    </row>
    <row r="5">
      <c r="A5" s="2" t="inlineStr">
        <is>
          <t xml:space="preserve">    quantum company where most enterprise value is terminal.</t>
        </is>
      </c>
    </row>
    <row r="6">
      <c r="A6" s="2" t="inlineStr">
        <is>
          <t xml:space="preserve">  • Two valuation frameworks side-by-side:</t>
        </is>
      </c>
    </row>
    <row r="7">
      <c r="A7" s="2" t="inlineStr">
        <is>
          <t xml:space="preserve">      1. TRADITIONAL DCF: WACC-discounted FCF + Gordon terminal.</t>
        </is>
      </c>
    </row>
    <row r="8">
      <c r="A8" s="2" t="inlineStr">
        <is>
          <t xml:space="preserve">         Honest intrinsic value. Expected to be FAR below current price</t>
        </is>
      </c>
    </row>
    <row r="9">
      <c r="A9" s="2" t="inlineStr">
        <is>
          <t xml:space="preserve">         (the QC sector trades on optionality, not DCF).</t>
        </is>
      </c>
    </row>
    <row r="10">
      <c r="A10" s="2" t="inlineStr">
        <is>
          <t xml:space="preserve">      2. REVERSE-ENGINEERED IPO VALUATION: holding current $68 price constant,</t>
        </is>
      </c>
    </row>
    <row r="11">
      <c r="A11" s="2" t="inlineStr">
        <is>
          <t xml:space="preserve">         solve for required FY35E revenue + implied % of McKinsey QC TAM.</t>
        </is>
      </c>
    </row>
    <row r="12">
      <c r="A12" s="2" t="inlineStr">
        <is>
          <t xml:space="preserve">         This is the right tool for pre-profit / pre-FTQC optionality names.</t>
        </is>
      </c>
    </row>
    <row r="13">
      <c r="A13" s="2" t="inlineStr"/>
    </row>
    <row r="14">
      <c r="A14" s="3" t="inlineStr">
        <is>
          <t>REVENUE BUILD — 4 STREAMS</t>
        </is>
      </c>
    </row>
    <row r="15">
      <c r="A15" s="2" t="inlineStr">
        <is>
          <t xml:space="preserve">  • RIKEN: 60-63% of FY24/FY25 revenue; already crashed to 7% in Q1 26.</t>
        </is>
      </c>
    </row>
    <row r="16">
      <c r="A16" s="2" t="inlineStr">
        <is>
          <t xml:space="preserve">    Models the cliff explicitly — runs off to zero by FY2030E.</t>
        </is>
      </c>
    </row>
    <row r="17">
      <c r="A17" s="2" t="inlineStr">
        <is>
          <t xml:space="preserve">  • Helios cloud + on-prem: launched Nov 2025, 98 qubits trapped-ion, barium.</t>
        </is>
      </c>
    </row>
    <row r="18">
      <c r="A18" s="2" t="inlineStr">
        <is>
          <t xml:space="preserve">    Launch customers Amgen, BMW, JPMC, SoftBank. Primary growth engine.</t>
        </is>
      </c>
    </row>
    <row r="19">
      <c r="A19" s="2" t="inlineStr">
        <is>
          <t xml:space="preserve">  • Quantum Origin + InQuanto SaaS: software products, higher GM.</t>
        </is>
      </c>
    </row>
    <row r="20">
      <c r="A20" s="2" t="inlineStr">
        <is>
          <t xml:space="preserve">  • Government/DARPA/CHIPS: DARPA QBI Stage B + $100M CHIPS LOI.</t>
        </is>
      </c>
    </row>
    <row r="21">
      <c r="A21" s="2" t="inlineStr"/>
    </row>
    <row r="22">
      <c r="A22" s="3" t="inlineStr">
        <is>
          <t>KEY ASSUMPTIONS (BASE CASE)</t>
        </is>
      </c>
    </row>
    <row r="23">
      <c r="A23" s="2" t="inlineStr">
        <is>
          <t xml:space="preserve">  • WACC: rf 4.3% + beta 2.10 × ERP 5.5% = 15.85% — higher than AVGO 9.5%</t>
        </is>
      </c>
    </row>
    <row r="24">
      <c r="A24" s="2" t="inlineStr">
        <is>
          <t xml:space="preserve">    reflecting pre-profit / IPO premium / high beta for QC pure-plays.</t>
        </is>
      </c>
    </row>
    <row r="25">
      <c r="A25" s="2" t="inlineStr">
        <is>
          <t xml:space="preserve">  • Terminal growth: 4.0% — QC market growing well above GDP through 2040.</t>
        </is>
      </c>
    </row>
    <row r="26">
      <c r="A26" s="2" t="inlineStr">
        <is>
          <t xml:space="preserve">  • Operating margin path: -700% (FY26E) → +18% (FY35E) as scale arrives.</t>
        </is>
      </c>
    </row>
    <row r="27">
      <c r="A27" s="2" t="inlineStr">
        <is>
          <t xml:space="preserve">  • R&amp;D: $165M FY25 (540% of rev) → $230M FY35E (~9% of rev as it scales).</t>
        </is>
      </c>
    </row>
    <row r="28">
      <c r="A28" s="2" t="inlineStr">
        <is>
          <t xml:space="preserve">  • Dilution: 4% p.a. fully-diluted share count growth for stock-comp.</t>
        </is>
      </c>
    </row>
    <row r="29">
      <c r="A29" s="2" t="inlineStr"/>
    </row>
    <row r="30">
      <c r="A30" s="3" t="inlineStr">
        <is>
          <t>DUAL DCF YELLOW FLAGS</t>
        </is>
      </c>
    </row>
    <row r="31">
      <c r="A31" s="2" t="inlineStr">
        <is>
          <t xml:space="preserve">  • Traditional DCF terminal value &gt;100% of EV; result is meaningless precision.</t>
        </is>
      </c>
    </row>
    <row r="32">
      <c r="A32" s="2" t="inlineStr">
        <is>
          <t xml:space="preserve">  • Reverse-engineered DCF assumes 8x EV/Rev mature multiple — varies by tech maturity.</t>
        </is>
      </c>
    </row>
    <row r="33">
      <c r="A33" s="2" t="inlineStr">
        <is>
          <t xml:space="preserve">  • Implied 2035 QC market share % is the critical assumption to stress-test.</t>
        </is>
      </c>
    </row>
    <row r="34">
      <c r="A34" s="2" t="inlineStr"/>
    </row>
    <row r="35">
      <c r="A35" s="3" t="inlineStr">
        <is>
          <t>DATA GAPS / [E] FLAGS</t>
        </is>
      </c>
    </row>
    <row r="36">
      <c r="A36" s="2" t="inlineStr">
        <is>
          <t xml:space="preserve">  • Gross margin not broken out in S-1 — assumed based on RGTI/IONQ analogs.</t>
        </is>
      </c>
    </row>
    <row r="37">
      <c r="A37" s="2" t="inlineStr">
        <is>
          <t xml:space="preserve">  • Stock-based comp pct of R&amp;D estimated from public comps (~50% early).</t>
        </is>
      </c>
    </row>
    <row r="38">
      <c r="A38" s="2" t="inlineStr">
        <is>
          <t xml:space="preserve">  • Interest income hardcoded ($M)—approximation; assumes 4% on average cash.</t>
        </is>
      </c>
    </row>
    <row r="39">
      <c r="A39" s="2" t="inlineStr">
        <is>
          <t xml:space="preserve">  • Other balance-sheet items simplified to a single 'Other assets' line.</t>
        </is>
      </c>
    </row>
    <row r="40">
      <c r="A40" s="2" t="inlineStr"/>
    </row>
    <row r="41">
      <c r="A41" s="3" t="inlineStr">
        <is>
          <t>QA CHECKS</t>
        </is>
      </c>
    </row>
    <row r="42">
      <c r="A42" s="2" t="inlineStr">
        <is>
          <t xml:space="preserve">  • Balance sheet check row: TA - TL - TE = 0 (each column).</t>
        </is>
      </c>
    </row>
    <row r="43">
      <c r="A43" s="2" t="inlineStr">
        <is>
          <t xml:space="preserve">  • Cash runway check row: years of cash at current burn.</t>
        </is>
      </c>
    </row>
    <row r="44">
      <c r="A44" s="2" t="inlineStr">
        <is>
          <t xml:space="preserve">  • Sensitivity table center cell = base case implied price.</t>
        </is>
      </c>
    </row>
    <row r="45">
      <c r="A45" s="2" t="inlineStr">
        <is>
          <t xml:space="preserve">  • Run `python3 verify_model.py` for independent Python recomputation.</t>
        </is>
      </c>
    </row>
    <row r="46">
      <c r="A46" s="2" t="inlineStr"/>
    </row>
    <row r="47">
      <c r="A47" s="3" t="inlineStr">
        <is>
          <t>REFRESH CHECKLIST (post-IPO day-1 close)</t>
        </is>
      </c>
    </row>
    <row r="48">
      <c r="A48" s="2" t="inlineStr">
        <is>
          <t xml:space="preserve">  • Update Drivers!E5 ish — re-anchor 'Current trading price' on DCF sheet.</t>
        </is>
      </c>
    </row>
    <row r="49">
      <c r="A49" s="2" t="inlineStr">
        <is>
          <t xml:space="preserve">  • If first-day close differs materially from $68 open, re-anchor and re-run.</t>
        </is>
      </c>
    </row>
    <row r="50">
      <c r="A50" s="2" t="inlineStr">
        <is>
          <t xml:space="preserve">  • If management raises post-IPO guidance, refresh segment growth tracks.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Sensitivity: Implied price per share — Traditional DCF (WACC x terminal g)</t>
        </is>
      </c>
    </row>
    <row r="3">
      <c r="B3" s="4" t="inlineStr">
        <is>
          <t>WACC →</t>
        </is>
      </c>
      <c r="C3" s="5">
        <f>Drivers!C27+-0.02</f>
        <v/>
      </c>
      <c r="D3" s="5">
        <f>Drivers!C27+-0.01</f>
        <v/>
      </c>
      <c r="E3" s="5">
        <f>Drivers!C27+0</f>
        <v/>
      </c>
      <c r="F3" s="5">
        <f>Drivers!C27+0.01</f>
        <v/>
      </c>
      <c r="G3" s="5">
        <f>Drivers!C27+0.02</f>
        <v/>
      </c>
    </row>
    <row r="4">
      <c r="B4" s="6">
        <f>Drivers!C28+-0.015</f>
        <v/>
      </c>
      <c r="C4" s="7">
        <f>DCF!C19 * ((1+(Drivers!C28+-0.015))/((Drivers!C27+-0.02)-(Drivers!C28+-0.015))) / ((1+Drivers!C28)/(Drivers!C27-Drivers!C28))</f>
        <v/>
      </c>
      <c r="D4" s="7">
        <f>DCF!C19 * ((1+(Drivers!C28+-0.015))/((Drivers!C27+-0.01)-(Drivers!C28+-0.015))) / ((1+Drivers!C28)/(Drivers!C27-Drivers!C28))</f>
        <v/>
      </c>
      <c r="E4" s="7">
        <f>DCF!C19 * ((1+(Drivers!C28+-0.015))/((Drivers!C27+0)-(Drivers!C28+-0.015))) / ((1+Drivers!C28)/(Drivers!C27-Drivers!C28))</f>
        <v/>
      </c>
      <c r="F4" s="7">
        <f>DCF!C19 * ((1+(Drivers!C28+-0.015))/((Drivers!C27+0.01)-(Drivers!C28+-0.015))) / ((1+Drivers!C28)/(Drivers!C27-Drivers!C28))</f>
        <v/>
      </c>
      <c r="G4" s="7">
        <f>DCF!C19 * ((1+(Drivers!C28+-0.015))/((Drivers!C27+0.02)-(Drivers!C28+-0.015))) / ((1+Drivers!C28)/(Drivers!C27-Drivers!C28))</f>
        <v/>
      </c>
    </row>
    <row r="5">
      <c r="B5" s="6">
        <f>Drivers!C28+-0.005</f>
        <v/>
      </c>
      <c r="C5" s="7">
        <f>DCF!C19 * ((1+(Drivers!C28+-0.005))/((Drivers!C27+-0.02)-(Drivers!C28+-0.005))) / ((1+Drivers!C28)/(Drivers!C27-Drivers!C28))</f>
        <v/>
      </c>
      <c r="D5" s="7">
        <f>DCF!C19 * ((1+(Drivers!C28+-0.005))/((Drivers!C27+-0.01)-(Drivers!C28+-0.005))) / ((1+Drivers!C28)/(Drivers!C27-Drivers!C28))</f>
        <v/>
      </c>
      <c r="E5" s="7">
        <f>DCF!C19 * ((1+(Drivers!C28+-0.005))/((Drivers!C27+0)-(Drivers!C28+-0.005))) / ((1+Drivers!C28)/(Drivers!C27-Drivers!C28))</f>
        <v/>
      </c>
      <c r="F5" s="7">
        <f>DCF!C19 * ((1+(Drivers!C28+-0.005))/((Drivers!C27+0.01)-(Drivers!C28+-0.005))) / ((1+Drivers!C28)/(Drivers!C27-Drivers!C28))</f>
        <v/>
      </c>
      <c r="G5" s="7">
        <f>DCF!C19 * ((1+(Drivers!C28+-0.005))/((Drivers!C27+0.02)-(Drivers!C28+-0.005))) / ((1+Drivers!C28)/(Drivers!C27-Drivers!C28))</f>
        <v/>
      </c>
    </row>
    <row r="6">
      <c r="B6" s="6">
        <f>Drivers!C28+0</f>
        <v/>
      </c>
      <c r="C6" s="7">
        <f>DCF!C19 * ((1+(Drivers!C28+0))/((Drivers!C27+-0.02)-(Drivers!C28+0))) / ((1+Drivers!C28)/(Drivers!C27-Drivers!C28))</f>
        <v/>
      </c>
      <c r="D6" s="7">
        <f>DCF!C19 * ((1+(Drivers!C28+0))/((Drivers!C27+-0.01)-(Drivers!C28+0))) / ((1+Drivers!C28)/(Drivers!C27-Drivers!C28))</f>
        <v/>
      </c>
      <c r="E6" s="8">
        <f>DCF!C19 * ((1+(Drivers!C28+0))/((Drivers!C27+0)-(Drivers!C28+0))) / ((1+Drivers!C28)/(Drivers!C27-Drivers!C28))</f>
        <v/>
      </c>
      <c r="F6" s="7">
        <f>DCF!C19 * ((1+(Drivers!C28+0))/((Drivers!C27+0.01)-(Drivers!C28+0))) / ((1+Drivers!C28)/(Drivers!C27-Drivers!C28))</f>
        <v/>
      </c>
      <c r="G6" s="7">
        <f>DCF!C19 * ((1+(Drivers!C28+0))/((Drivers!C27+0.02)-(Drivers!C28+0))) / ((1+Drivers!C28)/(Drivers!C27-Drivers!C28))</f>
        <v/>
      </c>
    </row>
    <row r="7">
      <c r="B7" s="6">
        <f>Drivers!C28+0.005</f>
        <v/>
      </c>
      <c r="C7" s="7">
        <f>DCF!C19 * ((1+(Drivers!C28+0.005))/((Drivers!C27+-0.02)-(Drivers!C28+0.005))) / ((1+Drivers!C28)/(Drivers!C27-Drivers!C28))</f>
        <v/>
      </c>
      <c r="D7" s="7">
        <f>DCF!C19 * ((1+(Drivers!C28+0.005))/((Drivers!C27+-0.01)-(Drivers!C28+0.005))) / ((1+Drivers!C28)/(Drivers!C27-Drivers!C28))</f>
        <v/>
      </c>
      <c r="E7" s="7">
        <f>DCF!C19 * ((1+(Drivers!C28+0.005))/((Drivers!C27+0)-(Drivers!C28+0.005))) / ((1+Drivers!C28)/(Drivers!C27-Drivers!C28))</f>
        <v/>
      </c>
      <c r="F7" s="7">
        <f>DCF!C19 * ((1+(Drivers!C28+0.005))/((Drivers!C27+0.01)-(Drivers!C28+0.005))) / ((1+Drivers!C28)/(Drivers!C27-Drivers!C28))</f>
        <v/>
      </c>
      <c r="G7" s="7">
        <f>DCF!C19 * ((1+(Drivers!C28+0.005))/((Drivers!C27+0.02)-(Drivers!C28+0.005))) / ((1+Drivers!C28)/(Drivers!C27-Drivers!C28))</f>
        <v/>
      </c>
    </row>
    <row r="8">
      <c r="B8" s="6">
        <f>Drivers!C28+0.015</f>
        <v/>
      </c>
      <c r="C8" s="7">
        <f>DCF!C19 * ((1+(Drivers!C28+0.015))/((Drivers!C27+-0.02)-(Drivers!C28+0.015))) / ((1+Drivers!C28)/(Drivers!C27-Drivers!C28))</f>
        <v/>
      </c>
      <c r="D8" s="7">
        <f>DCF!C19 * ((1+(Drivers!C28+0.015))/((Drivers!C27+-0.01)-(Drivers!C28+0.015))) / ((1+Drivers!C28)/(Drivers!C27-Drivers!C28))</f>
        <v/>
      </c>
      <c r="E8" s="7">
        <f>DCF!C19 * ((1+(Drivers!C28+0.015))/((Drivers!C27+0)-(Drivers!C28+0.015))) / ((1+Drivers!C28)/(Drivers!C27-Drivers!C28))</f>
        <v/>
      </c>
      <c r="F8" s="7">
        <f>DCF!C19 * ((1+(Drivers!C28+0.015))/((Drivers!C27+0.01)-(Drivers!C28+0.015))) / ((1+Drivers!C28)/(Drivers!C27-Drivers!C28))</f>
        <v/>
      </c>
      <c r="G8" s="7">
        <f>DCF!C19 * ((1+(Drivers!C28+0.015))/((Drivers!C27+0.02)-(Drivers!C28+0.015))) / ((1+Drivers!C28)/(Drivers!C27-Drivers!C28))</f>
        <v/>
      </c>
    </row>
    <row r="11">
      <c r="A11" s="9" t="inlineStr">
        <is>
          <t>Current trading price ($)</t>
        </is>
      </c>
      <c r="B11" s="10">
        <f>DCF!C20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50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Framework 1 — Traditional WACC-discounted DCF (intrinsic value)</t>
        </is>
      </c>
    </row>
    <row r="3">
      <c r="A3" s="11" t="inlineStr">
        <is>
          <t>($ in millions)</t>
        </is>
      </c>
      <c r="C3" s="12" t="inlineStr">
        <is>
          <t>FY2024A</t>
        </is>
      </c>
      <c r="D3" s="12" t="inlineStr">
        <is>
          <t>FY2025A</t>
        </is>
      </c>
      <c r="E3" s="12" t="inlineStr">
        <is>
          <t>FY2026E</t>
        </is>
      </c>
      <c r="F3" s="12" t="inlineStr">
        <is>
          <t>FY2027E</t>
        </is>
      </c>
      <c r="G3" s="12" t="inlineStr">
        <is>
          <t>FY2028E</t>
        </is>
      </c>
      <c r="H3" s="12" t="inlineStr">
        <is>
          <t>FY2029E</t>
        </is>
      </c>
      <c r="I3" s="12" t="inlineStr">
        <is>
          <t>FY2030E</t>
        </is>
      </c>
      <c r="J3" s="12" t="inlineStr">
        <is>
          <t>FY2031E</t>
        </is>
      </c>
      <c r="K3" s="12" t="inlineStr">
        <is>
          <t>FY2032E</t>
        </is>
      </c>
      <c r="L3" s="12" t="inlineStr">
        <is>
          <t>FY2033E</t>
        </is>
      </c>
      <c r="M3" s="12" t="inlineStr">
        <is>
          <t>FY2034E</t>
        </is>
      </c>
      <c r="N3" s="12" t="inlineStr">
        <is>
          <t>FY2035E</t>
        </is>
      </c>
    </row>
    <row r="5">
      <c r="A5" s="13" t="inlineStr">
        <is>
          <t>Free cash flow ($M)</t>
        </is>
      </c>
      <c r="C5" s="14">
        <f>'Cash Flow'!C12</f>
        <v/>
      </c>
      <c r="D5" s="14">
        <f>'Cash Flow'!D12</f>
        <v/>
      </c>
      <c r="E5" s="14">
        <f>'Cash Flow'!E12</f>
        <v/>
      </c>
      <c r="F5" s="14">
        <f>'Cash Flow'!F12</f>
        <v/>
      </c>
      <c r="G5" s="14">
        <f>'Cash Flow'!G12</f>
        <v/>
      </c>
      <c r="H5" s="14">
        <f>'Cash Flow'!H12</f>
        <v/>
      </c>
      <c r="I5" s="14">
        <f>'Cash Flow'!I12</f>
        <v/>
      </c>
      <c r="J5" s="14">
        <f>'Cash Flow'!J12</f>
        <v/>
      </c>
      <c r="K5" s="14">
        <f>'Cash Flow'!K12</f>
        <v/>
      </c>
      <c r="L5" s="14">
        <f>'Cash Flow'!L12</f>
        <v/>
      </c>
      <c r="M5" s="14">
        <f>'Cash Flow'!M12</f>
        <v/>
      </c>
      <c r="N5" s="14">
        <f>'Cash Flow'!N12</f>
        <v/>
      </c>
    </row>
    <row r="6">
      <c r="A6" s="15" t="inlineStr">
        <is>
          <t>Discount period (years from mid-FY26)</t>
        </is>
      </c>
      <c r="C6" s="16" t="n">
        <v>0</v>
      </c>
      <c r="D6" s="16" t="n">
        <v>0</v>
      </c>
      <c r="E6" s="16" t="n">
        <v>0.5</v>
      </c>
      <c r="F6" s="16" t="n">
        <v>1.5</v>
      </c>
      <c r="G6" s="16" t="n">
        <v>2.5</v>
      </c>
      <c r="H6" s="16" t="n">
        <v>3.5</v>
      </c>
      <c r="I6" s="16" t="n">
        <v>4.5</v>
      </c>
      <c r="J6" s="16" t="n">
        <v>5.5</v>
      </c>
      <c r="K6" s="16" t="n">
        <v>6.5</v>
      </c>
      <c r="L6" s="16" t="n">
        <v>7.5</v>
      </c>
      <c r="M6" s="16" t="n">
        <v>8.5</v>
      </c>
      <c r="N6" s="16" t="n">
        <v>9.5</v>
      </c>
    </row>
    <row r="7">
      <c r="A7" s="15" t="inlineStr">
        <is>
          <t>Discount factor @ WACC</t>
        </is>
      </c>
      <c r="C7" s="17">
        <f>1/(1+Drivers!C27)^C6</f>
        <v/>
      </c>
      <c r="D7" s="17">
        <f>1/(1+Drivers!C27)^D6</f>
        <v/>
      </c>
      <c r="E7" s="17">
        <f>1/(1+Drivers!C27)^E6</f>
        <v/>
      </c>
      <c r="F7" s="17">
        <f>1/(1+Drivers!C27)^F6</f>
        <v/>
      </c>
      <c r="G7" s="17">
        <f>1/(1+Drivers!C27)^G6</f>
        <v/>
      </c>
      <c r="H7" s="17">
        <f>1/(1+Drivers!C27)^H6</f>
        <v/>
      </c>
      <c r="I7" s="17">
        <f>1/(1+Drivers!C27)^I6</f>
        <v/>
      </c>
      <c r="J7" s="17">
        <f>1/(1+Drivers!C27)^J6</f>
        <v/>
      </c>
      <c r="K7" s="17">
        <f>1/(1+Drivers!C27)^K6</f>
        <v/>
      </c>
      <c r="L7" s="17">
        <f>1/(1+Drivers!C27)^L6</f>
        <v/>
      </c>
      <c r="M7" s="17">
        <f>1/(1+Drivers!C27)^M6</f>
        <v/>
      </c>
      <c r="N7" s="17">
        <f>1/(1+Drivers!C27)^N6</f>
        <v/>
      </c>
    </row>
    <row r="8">
      <c r="A8" s="13" t="inlineStr">
        <is>
          <t>PV of FCF</t>
        </is>
      </c>
      <c r="C8" s="14">
        <f>C5*C7</f>
        <v/>
      </c>
      <c r="D8" s="14">
        <f>D5*D7</f>
        <v/>
      </c>
      <c r="E8" s="14">
        <f>E5*E7</f>
        <v/>
      </c>
      <c r="F8" s="14">
        <f>F5*F7</f>
        <v/>
      </c>
      <c r="G8" s="14">
        <f>G5*G7</f>
        <v/>
      </c>
      <c r="H8" s="14">
        <f>H5*H7</f>
        <v/>
      </c>
      <c r="I8" s="14">
        <f>I5*I7</f>
        <v/>
      </c>
      <c r="J8" s="14">
        <f>J5*J7</f>
        <v/>
      </c>
      <c r="K8" s="14">
        <f>K5*K7</f>
        <v/>
      </c>
      <c r="L8" s="14">
        <f>L5*L7</f>
        <v/>
      </c>
      <c r="M8" s="14">
        <f>M5*M7</f>
        <v/>
      </c>
      <c r="N8" s="14">
        <f>N5*N7</f>
        <v/>
      </c>
    </row>
    <row r="10">
      <c r="A10" s="18" t="inlineStr">
        <is>
          <t>Sum of PV (FCF, FY26E-FY35E)</t>
        </is>
      </c>
      <c r="C10" s="19">
        <f>SUM(E8:N8)</f>
        <v/>
      </c>
    </row>
    <row r="11">
      <c r="A11" s="15" t="inlineStr">
        <is>
          <t>Terminal FCF (FY35E base)</t>
        </is>
      </c>
      <c r="C11" s="17">
        <f>N5</f>
        <v/>
      </c>
    </row>
    <row r="12">
      <c r="A12" s="15" t="inlineStr">
        <is>
          <t>Terminal value (Gordon, g=4%)</t>
        </is>
      </c>
      <c r="C12" s="17">
        <f>C11*(1+Drivers!C28)/(Drivers!C27-Drivers!C28)</f>
        <v/>
      </c>
    </row>
    <row r="13">
      <c r="A13" s="15" t="inlineStr">
        <is>
          <t>PV of terminal value</t>
        </is>
      </c>
      <c r="C13" s="17">
        <f>C12*N7</f>
        <v/>
      </c>
    </row>
    <row r="14">
      <c r="A14" s="18" t="inlineStr">
        <is>
          <t>Enterprise value ($M)</t>
        </is>
      </c>
      <c r="C14" s="19">
        <f>C10+C13</f>
        <v/>
      </c>
    </row>
    <row r="15">
      <c r="A15" s="15" t="inlineStr">
        <is>
          <t xml:space="preserve">  + Cash (post-IPO)</t>
        </is>
      </c>
      <c r="C15" s="20" t="n">
        <v>2080</v>
      </c>
    </row>
    <row r="16">
      <c r="A16" s="15" t="inlineStr">
        <is>
          <t xml:space="preserve">  - Debt</t>
        </is>
      </c>
      <c r="C16" s="20" t="n">
        <v>0</v>
      </c>
    </row>
    <row r="17">
      <c r="A17" s="13" t="inlineStr">
        <is>
          <t>Equity value ($M)</t>
        </is>
      </c>
      <c r="C17" s="19">
        <f>C14+C15-C16</f>
        <v/>
      </c>
    </row>
    <row r="18">
      <c r="A18" s="15" t="inlineStr">
        <is>
          <t xml:space="preserve">  / Shares (M, fully diluted)</t>
        </is>
      </c>
      <c r="C18" s="17">
        <f>Drivers!E19</f>
        <v/>
      </c>
    </row>
    <row r="19">
      <c r="A19" s="21" t="inlineStr">
        <is>
          <t>Implied price per share ($)</t>
        </is>
      </c>
      <c r="C19" s="22">
        <f>C17/C18</f>
        <v/>
      </c>
    </row>
    <row r="20">
      <c r="A20" s="15" t="inlineStr">
        <is>
          <t>Current trading price ($, Jun 4 2026)</t>
        </is>
      </c>
      <c r="C20" s="23" t="n">
        <v>68</v>
      </c>
    </row>
    <row r="21">
      <c r="A21" s="13" t="inlineStr">
        <is>
          <t>Premium / (discount) to intrinsic</t>
        </is>
      </c>
      <c r="C21" s="24">
        <f>C20/C19-1</f>
        <v/>
      </c>
    </row>
    <row r="25">
      <c r="A25" s="1" t="inlineStr">
        <is>
          <t>Framework 2 — Reverse-engineered: what must be true to justify $68?</t>
        </is>
      </c>
    </row>
    <row r="27">
      <c r="A27" s="13" t="inlineStr">
        <is>
          <t>Current market cap ($M, fully diluted)</t>
        </is>
      </c>
      <c r="C27" s="25">
        <f>C20*C18</f>
        <v/>
      </c>
    </row>
    <row r="28">
      <c r="A28" s="15" t="inlineStr">
        <is>
          <t xml:space="preserve">  - Cash</t>
        </is>
      </c>
      <c r="C28" s="17">
        <f>C15</f>
        <v/>
      </c>
    </row>
    <row r="29">
      <c r="A29" s="13" t="inlineStr">
        <is>
          <t>Implied EV ($M)</t>
        </is>
      </c>
      <c r="C29" s="25">
        <f>C27-C28</f>
        <v/>
      </c>
    </row>
    <row r="31">
      <c r="A31" s="18" t="inlineStr">
        <is>
          <t>Mature-state assumption (FY2035E)</t>
        </is>
      </c>
    </row>
    <row r="32">
      <c r="A32" s="15" t="inlineStr">
        <is>
          <t xml:space="preserve">  Target FY2035E EV/Revenue multiple (mature)</t>
        </is>
      </c>
      <c r="C32" s="26" t="n">
        <v>8</v>
      </c>
    </row>
    <row r="33">
      <c r="A33" s="13" t="inlineStr">
        <is>
          <t xml:space="preserve">  Implied FY2035E revenue to clear $68 today</t>
        </is>
      </c>
      <c r="C33" s="25">
        <f>C29*(1+Drivers!C27)^9.5/C32</f>
        <v/>
      </c>
    </row>
    <row r="34">
      <c r="A34" s="15" t="inlineStr">
        <is>
          <t xml:space="preserve">    Model FY2035E revenue</t>
        </is>
      </c>
      <c r="C34" s="17">
        <f>Drivers!N10</f>
        <v/>
      </c>
    </row>
    <row r="35">
      <c r="A35" s="13" t="inlineStr">
        <is>
          <t xml:space="preserve">    Gap (implied / model)</t>
        </is>
      </c>
      <c r="C35" s="24">
        <f>C33/C34-1</f>
        <v/>
      </c>
    </row>
    <row r="37">
      <c r="A37" s="15" t="inlineStr">
        <is>
          <t xml:space="preserve">    Implied 2035 share of $50B QC TAM</t>
        </is>
      </c>
      <c r="C37" s="20" t="n">
        <v>50000</v>
      </c>
    </row>
    <row r="38">
      <c r="A38" s="13" t="inlineStr">
        <is>
          <t xml:space="preserve">    Required market share to clear $68</t>
        </is>
      </c>
      <c r="C38" s="27">
        <f>C33/C37</f>
        <v/>
      </c>
    </row>
    <row r="40">
      <c r="A40" s="4" t="inlineStr">
        <is>
          <t>Sense check: today's revenue ranking vs implied 2035 share</t>
        </is>
      </c>
    </row>
    <row r="41">
      <c r="A41" s="4" t="inlineStr">
        <is>
          <t xml:space="preserve">  QNT FY25 revenue / FY35 implied revenue (10-yr CAGR)</t>
        </is>
      </c>
      <c r="C41" s="28">
        <f>(C33/Drivers!D10)^(1/10)-1</f>
        <v/>
      </c>
    </row>
  </sheetData>
  <mergeCells count="2">
    <mergeCell ref="A25:N25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Cash Flow Statement ($M)</t>
        </is>
      </c>
    </row>
    <row r="3">
      <c r="A3" s="11" t="inlineStr">
        <is>
          <t>($ in millions)</t>
        </is>
      </c>
      <c r="C3" s="12" t="inlineStr">
        <is>
          <t>FY2024A</t>
        </is>
      </c>
      <c r="D3" s="12" t="inlineStr">
        <is>
          <t>FY2025A</t>
        </is>
      </c>
      <c r="E3" s="12" t="inlineStr">
        <is>
          <t>FY2026E</t>
        </is>
      </c>
      <c r="F3" s="12" t="inlineStr">
        <is>
          <t>FY2027E</t>
        </is>
      </c>
      <c r="G3" s="12" t="inlineStr">
        <is>
          <t>FY2028E</t>
        </is>
      </c>
      <c r="H3" s="12" t="inlineStr">
        <is>
          <t>FY2029E</t>
        </is>
      </c>
      <c r="I3" s="12" t="inlineStr">
        <is>
          <t>FY2030E</t>
        </is>
      </c>
      <c r="J3" s="12" t="inlineStr">
        <is>
          <t>FY2031E</t>
        </is>
      </c>
      <c r="K3" s="12" t="inlineStr">
        <is>
          <t>FY2032E</t>
        </is>
      </c>
      <c r="L3" s="12" t="inlineStr">
        <is>
          <t>FY2033E</t>
        </is>
      </c>
      <c r="M3" s="12" t="inlineStr">
        <is>
          <t>FY2034E</t>
        </is>
      </c>
      <c r="N3" s="12" t="inlineStr">
        <is>
          <t>FY2035E</t>
        </is>
      </c>
    </row>
    <row r="5">
      <c r="A5" s="13" t="inlineStr">
        <is>
          <t>Net income (loss)</t>
        </is>
      </c>
      <c r="C5" s="14">
        <f>'Income Statement'!C19</f>
        <v/>
      </c>
      <c r="D5" s="14">
        <f>'Income Statement'!D19</f>
        <v/>
      </c>
      <c r="E5" s="14">
        <f>'Income Statement'!E19</f>
        <v/>
      </c>
      <c r="F5" s="14">
        <f>'Income Statement'!F19</f>
        <v/>
      </c>
      <c r="G5" s="14">
        <f>'Income Statement'!G19</f>
        <v/>
      </c>
      <c r="H5" s="14">
        <f>'Income Statement'!H19</f>
        <v/>
      </c>
      <c r="I5" s="14">
        <f>'Income Statement'!I19</f>
        <v/>
      </c>
      <c r="J5" s="14">
        <f>'Income Statement'!J19</f>
        <v/>
      </c>
      <c r="K5" s="14">
        <f>'Income Statement'!K19</f>
        <v/>
      </c>
      <c r="L5" s="14">
        <f>'Income Statement'!L19</f>
        <v/>
      </c>
      <c r="M5" s="14">
        <f>'Income Statement'!M19</f>
        <v/>
      </c>
      <c r="N5" s="14">
        <f>'Income Statement'!N19</f>
        <v/>
      </c>
    </row>
    <row r="6">
      <c r="A6" s="15" t="inlineStr">
        <is>
          <t xml:space="preserve">  + Stock-based comp (~50% of R&amp;D in early years)</t>
        </is>
      </c>
      <c r="C6" s="29" t="n">
        <v>0.55</v>
      </c>
      <c r="D6" s="29" t="n">
        <v>0.5</v>
      </c>
      <c r="E6" s="29" t="n">
        <v>0.45</v>
      </c>
      <c r="F6" s="29" t="n">
        <v>0.4</v>
      </c>
      <c r="G6" s="29" t="n">
        <v>0.35</v>
      </c>
      <c r="H6" s="29" t="n">
        <v>0.3</v>
      </c>
      <c r="I6" s="29" t="n">
        <v>0.27</v>
      </c>
      <c r="J6" s="29" t="n">
        <v>0.25</v>
      </c>
      <c r="K6" s="29" t="n">
        <v>0.22</v>
      </c>
      <c r="L6" s="29" t="n">
        <v>0.2</v>
      </c>
      <c r="M6" s="29" t="n">
        <v>0.18</v>
      </c>
      <c r="N6" s="29" t="n">
        <v>0.16</v>
      </c>
    </row>
    <row r="7">
      <c r="A7" s="15" t="inlineStr">
        <is>
          <t xml:space="preserve">  + Stock-based comp ($)</t>
        </is>
      </c>
      <c r="C7" s="17">
        <f>'Income Statement'!C9*C6</f>
        <v/>
      </c>
      <c r="D7" s="17">
        <f>'Income Statement'!D9*D6</f>
        <v/>
      </c>
      <c r="E7" s="17">
        <f>'Income Statement'!E9*E6</f>
        <v/>
      </c>
      <c r="F7" s="17">
        <f>'Income Statement'!F9*F6</f>
        <v/>
      </c>
      <c r="G7" s="17">
        <f>'Income Statement'!G9*G6</f>
        <v/>
      </c>
      <c r="H7" s="17">
        <f>'Income Statement'!H9*H6</f>
        <v/>
      </c>
      <c r="I7" s="17">
        <f>'Income Statement'!I9*I6</f>
        <v/>
      </c>
      <c r="J7" s="17">
        <f>'Income Statement'!J9*J6</f>
        <v/>
      </c>
      <c r="K7" s="17">
        <f>'Income Statement'!K9*K6</f>
        <v/>
      </c>
      <c r="L7" s="17">
        <f>'Income Statement'!L9*L6</f>
        <v/>
      </c>
      <c r="M7" s="17">
        <f>'Income Statement'!M9*M6</f>
        <v/>
      </c>
      <c r="N7" s="17">
        <f>'Income Statement'!N9*N6</f>
        <v/>
      </c>
    </row>
    <row r="8">
      <c r="A8" s="15" t="inlineStr">
        <is>
          <t xml:space="preserve">  + D&amp;A</t>
        </is>
      </c>
      <c r="C8" s="17">
        <f>'Income Statement'!C5*Drivers!C21</f>
        <v/>
      </c>
      <c r="D8" s="17">
        <f>'Income Statement'!D5*Drivers!D21</f>
        <v/>
      </c>
      <c r="E8" s="17">
        <f>'Income Statement'!E5*Drivers!E21</f>
        <v/>
      </c>
      <c r="F8" s="17">
        <f>'Income Statement'!F5*Drivers!F21</f>
        <v/>
      </c>
      <c r="G8" s="17">
        <f>'Income Statement'!G5*Drivers!G21</f>
        <v/>
      </c>
      <c r="H8" s="17">
        <f>'Income Statement'!H5*Drivers!H21</f>
        <v/>
      </c>
      <c r="I8" s="17">
        <f>'Income Statement'!I5*Drivers!I21</f>
        <v/>
      </c>
      <c r="J8" s="17">
        <f>'Income Statement'!J5*Drivers!J21</f>
        <v/>
      </c>
      <c r="K8" s="17">
        <f>'Income Statement'!K5*Drivers!K21</f>
        <v/>
      </c>
      <c r="L8" s="17">
        <f>'Income Statement'!L5*Drivers!L21</f>
        <v/>
      </c>
      <c r="M8" s="17">
        <f>'Income Statement'!M5*Drivers!M21</f>
        <v/>
      </c>
      <c r="N8" s="17">
        <f>'Income Statement'!N5*Drivers!N21</f>
        <v/>
      </c>
    </row>
    <row r="9">
      <c r="A9" s="18" t="inlineStr">
        <is>
          <t>Operating cash flow</t>
        </is>
      </c>
      <c r="C9" s="19">
        <f>C5+C7+C8</f>
        <v/>
      </c>
      <c r="D9" s="19">
        <f>D5+D7+D8</f>
        <v/>
      </c>
      <c r="E9" s="19">
        <f>E5+E7+E8</f>
        <v/>
      </c>
      <c r="F9" s="19">
        <f>F5+F7+F8</f>
        <v/>
      </c>
      <c r="G9" s="19">
        <f>G5+G7+G8</f>
        <v/>
      </c>
      <c r="H9" s="19">
        <f>H5+H7+H8</f>
        <v/>
      </c>
      <c r="I9" s="19">
        <f>I5+I7+I8</f>
        <v/>
      </c>
      <c r="J9" s="19">
        <f>J5+J7+J8</f>
        <v/>
      </c>
      <c r="K9" s="19">
        <f>K5+K7+K8</f>
        <v/>
      </c>
      <c r="L9" s="19">
        <f>L5+L7+L8</f>
        <v/>
      </c>
      <c r="M9" s="19">
        <f>M5+M7+M8</f>
        <v/>
      </c>
      <c r="N9" s="19">
        <f>N5+N7+N8</f>
        <v/>
      </c>
    </row>
    <row r="11">
      <c r="A11" s="15" t="inlineStr">
        <is>
          <t>Capex</t>
        </is>
      </c>
      <c r="C11" s="17">
        <f>-'Income Statement'!C5*Drivers!C20</f>
        <v/>
      </c>
      <c r="D11" s="17">
        <f>-'Income Statement'!D5*Drivers!D20</f>
        <v/>
      </c>
      <c r="E11" s="17">
        <f>-'Income Statement'!E5*Drivers!E20</f>
        <v/>
      </c>
      <c r="F11" s="17">
        <f>-'Income Statement'!F5*Drivers!F20</f>
        <v/>
      </c>
      <c r="G11" s="17">
        <f>-'Income Statement'!G5*Drivers!G20</f>
        <v/>
      </c>
      <c r="H11" s="17">
        <f>-'Income Statement'!H5*Drivers!H20</f>
        <v/>
      </c>
      <c r="I11" s="17">
        <f>-'Income Statement'!I5*Drivers!I20</f>
        <v/>
      </c>
      <c r="J11" s="17">
        <f>-'Income Statement'!J5*Drivers!J20</f>
        <v/>
      </c>
      <c r="K11" s="17">
        <f>-'Income Statement'!K5*Drivers!K20</f>
        <v/>
      </c>
      <c r="L11" s="17">
        <f>-'Income Statement'!L5*Drivers!L20</f>
        <v/>
      </c>
      <c r="M11" s="17">
        <f>-'Income Statement'!M5*Drivers!M20</f>
        <v/>
      </c>
      <c r="N11" s="17">
        <f>-'Income Statement'!N5*Drivers!N20</f>
        <v/>
      </c>
    </row>
    <row r="12">
      <c r="A12" s="18" t="inlineStr">
        <is>
          <t>Free cash flow</t>
        </is>
      </c>
      <c r="C12" s="19">
        <f>C9+C11</f>
        <v/>
      </c>
      <c r="D12" s="19">
        <f>D9+D11</f>
        <v/>
      </c>
      <c r="E12" s="19">
        <f>E9+E11</f>
        <v/>
      </c>
      <c r="F12" s="19">
        <f>F9+F11</f>
        <v/>
      </c>
      <c r="G12" s="19">
        <f>G9+G11</f>
        <v/>
      </c>
      <c r="H12" s="19">
        <f>H9+H11</f>
        <v/>
      </c>
      <c r="I12" s="19">
        <f>I9+I11</f>
        <v/>
      </c>
      <c r="J12" s="19">
        <f>J9+J11</f>
        <v/>
      </c>
      <c r="K12" s="19">
        <f>K9+K11</f>
        <v/>
      </c>
      <c r="L12" s="19">
        <f>L9+L11</f>
        <v/>
      </c>
      <c r="M12" s="19">
        <f>M9+M11</f>
        <v/>
      </c>
      <c r="N12" s="19">
        <f>N9+N11</f>
        <v/>
      </c>
    </row>
    <row r="14">
      <c r="A14" s="15" t="inlineStr">
        <is>
          <t>Financing — IPO proceeds (net)</t>
        </is>
      </c>
      <c r="C14" s="20" t="n">
        <v>0</v>
      </c>
      <c r="D14" s="20" t="n">
        <v>0</v>
      </c>
      <c r="E14" s="20" t="n">
        <v>1580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</row>
    <row r="15">
      <c r="A15" s="15" t="inlineStr">
        <is>
          <t>Beginning cash</t>
        </is>
      </c>
      <c r="C15" s="16" t="n">
        <v>502</v>
      </c>
      <c r="D15" s="17">
        <f>C17</f>
        <v/>
      </c>
      <c r="E15" s="17">
        <f>D17</f>
        <v/>
      </c>
      <c r="F15" s="17">
        <f>E17</f>
        <v/>
      </c>
      <c r="G15" s="17">
        <f>F17</f>
        <v/>
      </c>
      <c r="H15" s="17">
        <f>G17</f>
        <v/>
      </c>
      <c r="I15" s="17">
        <f>H17</f>
        <v/>
      </c>
      <c r="J15" s="17">
        <f>I17</f>
        <v/>
      </c>
      <c r="K15" s="17">
        <f>J17</f>
        <v/>
      </c>
      <c r="L15" s="17">
        <f>K17</f>
        <v/>
      </c>
      <c r="M15" s="17">
        <f>L17</f>
        <v/>
      </c>
      <c r="N15" s="17">
        <f>M17</f>
        <v/>
      </c>
    </row>
    <row r="16">
      <c r="A16" s="30" t="inlineStr">
        <is>
          <t>Change in cash</t>
        </is>
      </c>
      <c r="C16" s="17">
        <f>C12+C14</f>
        <v/>
      </c>
      <c r="D16" s="17">
        <f>D12+D14</f>
        <v/>
      </c>
      <c r="E16" s="17">
        <f>E12+E14</f>
        <v/>
      </c>
      <c r="F16" s="17">
        <f>F12+F14</f>
        <v/>
      </c>
      <c r="G16" s="17">
        <f>G12+G14</f>
        <v/>
      </c>
      <c r="H16" s="17">
        <f>H12+H14</f>
        <v/>
      </c>
      <c r="I16" s="17">
        <f>I12+I14</f>
        <v/>
      </c>
      <c r="J16" s="17">
        <f>J12+J14</f>
        <v/>
      </c>
      <c r="K16" s="17">
        <f>K12+K14</f>
        <v/>
      </c>
      <c r="L16" s="17">
        <f>L12+L14</f>
        <v/>
      </c>
      <c r="M16" s="17">
        <f>M12+M14</f>
        <v/>
      </c>
      <c r="N16" s="17">
        <f>N12+N14</f>
        <v/>
      </c>
    </row>
    <row r="17">
      <c r="A17" s="18" t="inlineStr">
        <is>
          <t>Ending cash</t>
        </is>
      </c>
      <c r="C17" s="19">
        <f>C15+C16</f>
        <v/>
      </c>
      <c r="D17" s="19">
        <f>D15+D16</f>
        <v/>
      </c>
      <c r="E17" s="19">
        <f>E15+E16</f>
        <v/>
      </c>
      <c r="F17" s="19">
        <f>F15+F16</f>
        <v/>
      </c>
      <c r="G17" s="19">
        <f>G15+G16</f>
        <v/>
      </c>
      <c r="H17" s="19">
        <f>H15+H16</f>
        <v/>
      </c>
      <c r="I17" s="19">
        <f>I15+I16</f>
        <v/>
      </c>
      <c r="J17" s="19">
        <f>J15+J16</f>
        <v/>
      </c>
      <c r="K17" s="19">
        <f>K15+K16</f>
        <v/>
      </c>
      <c r="L17" s="19">
        <f>L15+L16</f>
        <v/>
      </c>
      <c r="M17" s="19">
        <f>M15+M16</f>
        <v/>
      </c>
      <c r="N17" s="19">
        <f>N15+N16</f>
        <v/>
      </c>
    </row>
    <row r="19">
      <c r="A19" s="18" t="inlineStr">
        <is>
          <t>Cash runway check</t>
        </is>
      </c>
    </row>
    <row r="20">
      <c r="A20" s="4" t="inlineStr">
        <is>
          <t xml:space="preserve">  Years of cash at current burn</t>
        </is>
      </c>
      <c r="C20" s="17">
        <f>IF(C12&gt;=0,"profitable",C17/(-C12))</f>
        <v/>
      </c>
      <c r="D20" s="17">
        <f>IF(D12&gt;=0,"profitable",D17/(-D12))</f>
        <v/>
      </c>
      <c r="E20" s="17">
        <f>IF(E12&gt;=0,"profitable",E17/(-E12))</f>
        <v/>
      </c>
      <c r="F20" s="17">
        <f>IF(F12&gt;=0,"profitable",F17/(-F12))</f>
        <v/>
      </c>
      <c r="G20" s="17">
        <f>IF(G12&gt;=0,"profitable",G17/(-G12))</f>
        <v/>
      </c>
      <c r="H20" s="17">
        <f>IF(H12&gt;=0,"profitable",H17/(-H12))</f>
        <v/>
      </c>
      <c r="I20" s="17">
        <f>IF(I12&gt;=0,"profitable",I17/(-I12))</f>
        <v/>
      </c>
      <c r="J20" s="17">
        <f>IF(J12&gt;=0,"profitable",J17/(-J12))</f>
        <v/>
      </c>
      <c r="K20" s="17">
        <f>IF(K12&gt;=0,"profitable",K17/(-K12))</f>
        <v/>
      </c>
      <c r="L20" s="17">
        <f>IF(L12&gt;=0,"profitable",L17/(-L12))</f>
        <v/>
      </c>
      <c r="M20" s="17">
        <f>IF(M12&gt;=0,"profitable",M17/(-M12))</f>
        <v/>
      </c>
      <c r="N20" s="17">
        <f>IF(N12&gt;=0,"profitable",N17/(-N12))</f>
        <v/>
      </c>
    </row>
  </sheetData>
  <mergeCells count="1"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Balance Sheet ($M) — simplified</t>
        </is>
      </c>
    </row>
    <row r="3">
      <c r="A3" s="11" t="inlineStr">
        <is>
          <t>($ in millions)</t>
        </is>
      </c>
      <c r="C3" s="12" t="inlineStr">
        <is>
          <t>FY2024A</t>
        </is>
      </c>
      <c r="D3" s="12" t="inlineStr">
        <is>
          <t>FY2025A</t>
        </is>
      </c>
      <c r="E3" s="12" t="inlineStr">
        <is>
          <t>FY2026E</t>
        </is>
      </c>
      <c r="F3" s="12" t="inlineStr">
        <is>
          <t>FY2027E</t>
        </is>
      </c>
      <c r="G3" s="12" t="inlineStr">
        <is>
          <t>FY2028E</t>
        </is>
      </c>
      <c r="H3" s="12" t="inlineStr">
        <is>
          <t>FY2029E</t>
        </is>
      </c>
      <c r="I3" s="12" t="inlineStr">
        <is>
          <t>FY2030E</t>
        </is>
      </c>
      <c r="J3" s="12" t="inlineStr">
        <is>
          <t>FY2031E</t>
        </is>
      </c>
      <c r="K3" s="12" t="inlineStr">
        <is>
          <t>FY2032E</t>
        </is>
      </c>
      <c r="L3" s="12" t="inlineStr">
        <is>
          <t>FY2033E</t>
        </is>
      </c>
      <c r="M3" s="12" t="inlineStr">
        <is>
          <t>FY2034E</t>
        </is>
      </c>
      <c r="N3" s="12" t="inlineStr">
        <is>
          <t>FY2035E</t>
        </is>
      </c>
    </row>
    <row r="5">
      <c r="A5" s="13" t="inlineStr">
        <is>
          <t>Cash &amp; investments</t>
        </is>
      </c>
      <c r="C5" s="25">
        <f>'Cash Flow'!C17</f>
        <v/>
      </c>
      <c r="D5" s="25">
        <f>'Cash Flow'!D17</f>
        <v/>
      </c>
      <c r="E5" s="25">
        <f>'Cash Flow'!E17</f>
        <v/>
      </c>
      <c r="F5" s="25">
        <f>'Cash Flow'!F17</f>
        <v/>
      </c>
      <c r="G5" s="25">
        <f>'Cash Flow'!G17</f>
        <v/>
      </c>
      <c r="H5" s="25">
        <f>'Cash Flow'!H17</f>
        <v/>
      </c>
      <c r="I5" s="25">
        <f>'Cash Flow'!I17</f>
        <v/>
      </c>
      <c r="J5" s="25">
        <f>'Cash Flow'!J17</f>
        <v/>
      </c>
      <c r="K5" s="25">
        <f>'Cash Flow'!K17</f>
        <v/>
      </c>
      <c r="L5" s="25">
        <f>'Cash Flow'!L17</f>
        <v/>
      </c>
      <c r="M5" s="25">
        <f>'Cash Flow'!M17</f>
        <v/>
      </c>
      <c r="N5" s="25">
        <f>'Cash Flow'!N17</f>
        <v/>
      </c>
    </row>
    <row r="6">
      <c r="A6" s="15" t="inlineStr">
        <is>
          <t>Other assets (PP&amp;E + intangibles, est.)</t>
        </is>
      </c>
      <c r="C6" s="16" t="n">
        <v>200</v>
      </c>
      <c r="D6" s="16" t="n">
        <v>250</v>
      </c>
      <c r="E6" s="16" t="n">
        <v>320</v>
      </c>
      <c r="F6" s="16" t="n">
        <v>400</v>
      </c>
      <c r="G6" s="16" t="n">
        <v>500</v>
      </c>
      <c r="H6" s="16" t="n">
        <v>620</v>
      </c>
      <c r="I6" s="16" t="n">
        <v>760</v>
      </c>
      <c r="J6" s="16" t="n">
        <v>920</v>
      </c>
      <c r="K6" s="16" t="n">
        <v>1100</v>
      </c>
      <c r="L6" s="16" t="n">
        <v>1300</v>
      </c>
      <c r="M6" s="16" t="n">
        <v>1520</v>
      </c>
      <c r="N6" s="16" t="n">
        <v>1760</v>
      </c>
    </row>
    <row r="7">
      <c r="A7" s="13" t="inlineStr">
        <is>
          <t>Total assets</t>
        </is>
      </c>
      <c r="C7" s="19">
        <f>C5+C6</f>
        <v/>
      </c>
      <c r="D7" s="19">
        <f>D5+D6</f>
        <v/>
      </c>
      <c r="E7" s="19">
        <f>E5+E6</f>
        <v/>
      </c>
      <c r="F7" s="19">
        <f>F5+F6</f>
        <v/>
      </c>
      <c r="G7" s="19">
        <f>G5+G6</f>
        <v/>
      </c>
      <c r="H7" s="19">
        <f>H5+H6</f>
        <v/>
      </c>
      <c r="I7" s="19">
        <f>I5+I6</f>
        <v/>
      </c>
      <c r="J7" s="19">
        <f>J5+J6</f>
        <v/>
      </c>
      <c r="K7" s="19">
        <f>K5+K6</f>
        <v/>
      </c>
      <c r="L7" s="19">
        <f>L5+L6</f>
        <v/>
      </c>
      <c r="M7" s="19">
        <f>M5+M6</f>
        <v/>
      </c>
      <c r="N7" s="19">
        <f>N5+N6</f>
        <v/>
      </c>
    </row>
    <row r="9">
      <c r="A9" s="15" t="inlineStr">
        <is>
          <t>Total liabilities (operating, est.)</t>
        </is>
      </c>
      <c r="C9" s="16" t="n">
        <v>80</v>
      </c>
      <c r="D9" s="16" t="n">
        <v>100</v>
      </c>
      <c r="E9" s="16" t="n">
        <v>140</v>
      </c>
      <c r="F9" s="16" t="n">
        <v>180</v>
      </c>
      <c r="G9" s="16" t="n">
        <v>220</v>
      </c>
      <c r="H9" s="16" t="n">
        <v>270</v>
      </c>
      <c r="I9" s="16" t="n">
        <v>320</v>
      </c>
      <c r="J9" s="16" t="n">
        <v>380</v>
      </c>
      <c r="K9" s="16" t="n">
        <v>450</v>
      </c>
      <c r="L9" s="16" t="n">
        <v>520</v>
      </c>
      <c r="M9" s="16" t="n">
        <v>600</v>
      </c>
      <c r="N9" s="16" t="n">
        <v>680</v>
      </c>
    </row>
    <row r="10">
      <c r="A10" s="13" t="inlineStr">
        <is>
          <t>Total stockholders' equity (plug)</t>
        </is>
      </c>
      <c r="C10" s="19">
        <f>C7-C9</f>
        <v/>
      </c>
      <c r="D10" s="19">
        <f>D7-D9</f>
        <v/>
      </c>
      <c r="E10" s="19">
        <f>E7-E9</f>
        <v/>
      </c>
      <c r="F10" s="19">
        <f>F7-F9</f>
        <v/>
      </c>
      <c r="G10" s="19">
        <f>G7-G9</f>
        <v/>
      </c>
      <c r="H10" s="19">
        <f>H7-H9</f>
        <v/>
      </c>
      <c r="I10" s="19">
        <f>I7-I9</f>
        <v/>
      </c>
      <c r="J10" s="19">
        <f>J7-J9</f>
        <v/>
      </c>
      <c r="K10" s="19">
        <f>K7-K9</f>
        <v/>
      </c>
      <c r="L10" s="19">
        <f>L7-L9</f>
        <v/>
      </c>
      <c r="M10" s="19">
        <f>M7-M9</f>
        <v/>
      </c>
      <c r="N10" s="19">
        <f>N7-N9</f>
        <v/>
      </c>
    </row>
    <row r="11">
      <c r="A11" s="4" t="inlineStr">
        <is>
          <t xml:space="preserve">  Check: TA = TL + TE</t>
        </is>
      </c>
      <c r="C11" s="17">
        <f>C7-C9-C10</f>
        <v/>
      </c>
      <c r="D11" s="17">
        <f>D7-D9-D10</f>
        <v/>
      </c>
      <c r="E11" s="17">
        <f>E7-E9-E10</f>
        <v/>
      </c>
      <c r="F11" s="17">
        <f>F7-F9-F10</f>
        <v/>
      </c>
      <c r="G11" s="17">
        <f>G7-G9-G10</f>
        <v/>
      </c>
      <c r="H11" s="17">
        <f>H7-H9-H10</f>
        <v/>
      </c>
      <c r="I11" s="17">
        <f>I7-I9-I10</f>
        <v/>
      </c>
      <c r="J11" s="17">
        <f>J7-J9-J10</f>
        <v/>
      </c>
      <c r="K11" s="17">
        <f>K7-K9-K10</f>
        <v/>
      </c>
      <c r="L11" s="17">
        <f>L7-L9-L10</f>
        <v/>
      </c>
      <c r="M11" s="17">
        <f>M7-M9-M10</f>
        <v/>
      </c>
      <c r="N11" s="17">
        <f>N7-N9-N10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Income Statement (GAAP, $M)</t>
        </is>
      </c>
    </row>
    <row r="3">
      <c r="A3" s="11" t="inlineStr">
        <is>
          <t>($ in millions)</t>
        </is>
      </c>
      <c r="C3" s="12" t="inlineStr">
        <is>
          <t>FY2024A</t>
        </is>
      </c>
      <c r="D3" s="12" t="inlineStr">
        <is>
          <t>FY2025A</t>
        </is>
      </c>
      <c r="E3" s="12" t="inlineStr">
        <is>
          <t>FY2026E</t>
        </is>
      </c>
      <c r="F3" s="12" t="inlineStr">
        <is>
          <t>FY2027E</t>
        </is>
      </c>
      <c r="G3" s="12" t="inlineStr">
        <is>
          <t>FY2028E</t>
        </is>
      </c>
      <c r="H3" s="12" t="inlineStr">
        <is>
          <t>FY2029E</t>
        </is>
      </c>
      <c r="I3" s="12" t="inlineStr">
        <is>
          <t>FY2030E</t>
        </is>
      </c>
      <c r="J3" s="12" t="inlineStr">
        <is>
          <t>FY2031E</t>
        </is>
      </c>
      <c r="K3" s="12" t="inlineStr">
        <is>
          <t>FY2032E</t>
        </is>
      </c>
      <c r="L3" s="12" t="inlineStr">
        <is>
          <t>FY2033E</t>
        </is>
      </c>
      <c r="M3" s="12" t="inlineStr">
        <is>
          <t>FY2034E</t>
        </is>
      </c>
      <c r="N3" s="12" t="inlineStr">
        <is>
          <t>FY2035E</t>
        </is>
      </c>
    </row>
    <row r="5">
      <c r="A5" s="13" t="inlineStr">
        <is>
          <t>Revenue</t>
        </is>
      </c>
      <c r="C5" s="25">
        <f>Drivers!C10</f>
        <v/>
      </c>
      <c r="D5" s="25">
        <f>Drivers!D10</f>
        <v/>
      </c>
      <c r="E5" s="25">
        <f>Drivers!E10</f>
        <v/>
      </c>
      <c r="F5" s="25">
        <f>Drivers!F10</f>
        <v/>
      </c>
      <c r="G5" s="25">
        <f>Drivers!G10</f>
        <v/>
      </c>
      <c r="H5" s="25">
        <f>Drivers!H10</f>
        <v/>
      </c>
      <c r="I5" s="25">
        <f>Drivers!I10</f>
        <v/>
      </c>
      <c r="J5" s="25">
        <f>Drivers!J10</f>
        <v/>
      </c>
      <c r="K5" s="25">
        <f>Drivers!K10</f>
        <v/>
      </c>
      <c r="L5" s="25">
        <f>Drivers!L10</f>
        <v/>
      </c>
      <c r="M5" s="25">
        <f>Drivers!M10</f>
        <v/>
      </c>
      <c r="N5" s="25">
        <f>Drivers!N10</f>
        <v/>
      </c>
    </row>
    <row r="6">
      <c r="A6" s="15" t="inlineStr">
        <is>
          <t>Cost of revenue</t>
        </is>
      </c>
      <c r="C6" s="17">
        <f>C5*(1-Drivers!C14)</f>
        <v/>
      </c>
      <c r="D6" s="17">
        <f>D5*(1-Drivers!D14)</f>
        <v/>
      </c>
      <c r="E6" s="17">
        <f>E5*(1-Drivers!E14)</f>
        <v/>
      </c>
      <c r="F6" s="17">
        <f>F5*(1-Drivers!F14)</f>
        <v/>
      </c>
      <c r="G6" s="17">
        <f>G5*(1-Drivers!G14)</f>
        <v/>
      </c>
      <c r="H6" s="17">
        <f>H5*(1-Drivers!H14)</f>
        <v/>
      </c>
      <c r="I6" s="17">
        <f>I5*(1-Drivers!I14)</f>
        <v/>
      </c>
      <c r="J6" s="17">
        <f>J5*(1-Drivers!J14)</f>
        <v/>
      </c>
      <c r="K6" s="17">
        <f>K5*(1-Drivers!K14)</f>
        <v/>
      </c>
      <c r="L6" s="17">
        <f>L5*(1-Drivers!L14)</f>
        <v/>
      </c>
      <c r="M6" s="17">
        <f>M5*(1-Drivers!M14)</f>
        <v/>
      </c>
      <c r="N6" s="17">
        <f>N5*(1-Drivers!N14)</f>
        <v/>
      </c>
    </row>
    <row r="7">
      <c r="A7" s="13" t="inlineStr">
        <is>
          <t>Gross profit</t>
        </is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  <c r="H7" s="14">
        <f>H5-H6</f>
        <v/>
      </c>
      <c r="I7" s="14">
        <f>I5-I6</f>
        <v/>
      </c>
      <c r="J7" s="14">
        <f>J5-J6</f>
        <v/>
      </c>
      <c r="K7" s="14">
        <f>K5-K6</f>
        <v/>
      </c>
      <c r="L7" s="14">
        <f>L5-L6</f>
        <v/>
      </c>
      <c r="M7" s="14">
        <f>M5-M6</f>
        <v/>
      </c>
      <c r="N7" s="14">
        <f>N5-N6</f>
        <v/>
      </c>
    </row>
    <row r="9">
      <c r="A9" s="15" t="inlineStr">
        <is>
          <t>Research &amp; development</t>
        </is>
      </c>
      <c r="C9" s="17">
        <f>C5*Drivers!C15</f>
        <v/>
      </c>
      <c r="D9" s="17">
        <f>D5*Drivers!D15</f>
        <v/>
      </c>
      <c r="E9" s="17">
        <f>E5*Drivers!E15</f>
        <v/>
      </c>
      <c r="F9" s="17">
        <f>F5*Drivers!F15</f>
        <v/>
      </c>
      <c r="G9" s="17">
        <f>G5*Drivers!G15</f>
        <v/>
      </c>
      <c r="H9" s="17">
        <f>H5*Drivers!H15</f>
        <v/>
      </c>
      <c r="I9" s="17">
        <f>I5*Drivers!I15</f>
        <v/>
      </c>
      <c r="J9" s="17">
        <f>J5*Drivers!J15</f>
        <v/>
      </c>
      <c r="K9" s="17">
        <f>K5*Drivers!K15</f>
        <v/>
      </c>
      <c r="L9" s="17">
        <f>L5*Drivers!L15</f>
        <v/>
      </c>
      <c r="M9" s="17">
        <f>M5*Drivers!M15</f>
        <v/>
      </c>
      <c r="N9" s="17">
        <f>N5*Drivers!N15</f>
        <v/>
      </c>
    </row>
    <row r="10">
      <c r="A10" s="15" t="inlineStr">
        <is>
          <t>Selling, general &amp; administrative</t>
        </is>
      </c>
      <c r="C10" s="17">
        <f>C5*Drivers!C16</f>
        <v/>
      </c>
      <c r="D10" s="17">
        <f>D5*Drivers!D16</f>
        <v/>
      </c>
      <c r="E10" s="17">
        <f>E5*Drivers!E16</f>
        <v/>
      </c>
      <c r="F10" s="17">
        <f>F5*Drivers!F16</f>
        <v/>
      </c>
      <c r="G10" s="17">
        <f>G5*Drivers!G16</f>
        <v/>
      </c>
      <c r="H10" s="17">
        <f>H5*Drivers!H16</f>
        <v/>
      </c>
      <c r="I10" s="17">
        <f>I5*Drivers!I16</f>
        <v/>
      </c>
      <c r="J10" s="17">
        <f>J5*Drivers!J16</f>
        <v/>
      </c>
      <c r="K10" s="17">
        <f>K5*Drivers!K16</f>
        <v/>
      </c>
      <c r="L10" s="17">
        <f>L5*Drivers!L16</f>
        <v/>
      </c>
      <c r="M10" s="17">
        <f>M5*Drivers!M16</f>
        <v/>
      </c>
      <c r="N10" s="17">
        <f>N5*Drivers!N16</f>
        <v/>
      </c>
    </row>
    <row r="11">
      <c r="A11" s="13" t="inlineStr">
        <is>
          <t>Total operating expenses</t>
        </is>
      </c>
      <c r="C11" s="14">
        <f>C9+C10</f>
        <v/>
      </c>
      <c r="D11" s="14">
        <f>D9+D10</f>
        <v/>
      </c>
      <c r="E11" s="14">
        <f>E9+E10</f>
        <v/>
      </c>
      <c r="F11" s="14">
        <f>F9+F10</f>
        <v/>
      </c>
      <c r="G11" s="14">
        <f>G9+G10</f>
        <v/>
      </c>
      <c r="H11" s="14">
        <f>H9+H10</f>
        <v/>
      </c>
      <c r="I11" s="14">
        <f>I9+I10</f>
        <v/>
      </c>
      <c r="J11" s="14">
        <f>J9+J10</f>
        <v/>
      </c>
      <c r="K11" s="14">
        <f>K9+K10</f>
        <v/>
      </c>
      <c r="L11" s="14">
        <f>L9+L10</f>
        <v/>
      </c>
      <c r="M11" s="14">
        <f>M9+M10</f>
        <v/>
      </c>
      <c r="N11" s="14">
        <f>N9+N10</f>
        <v/>
      </c>
    </row>
    <row r="13">
      <c r="A13" s="18" t="inlineStr">
        <is>
          <t>Operating income (loss)</t>
        </is>
      </c>
      <c r="C13" s="19">
        <f>C7-C11</f>
        <v/>
      </c>
      <c r="D13" s="19">
        <f>D7-D11</f>
        <v/>
      </c>
      <c r="E13" s="19">
        <f>E7-E11</f>
        <v/>
      </c>
      <c r="F13" s="19">
        <f>F7-F11</f>
        <v/>
      </c>
      <c r="G13" s="19">
        <f>G7-G11</f>
        <v/>
      </c>
      <c r="H13" s="19">
        <f>H7-H11</f>
        <v/>
      </c>
      <c r="I13" s="19">
        <f>I7-I11</f>
        <v/>
      </c>
      <c r="J13" s="19">
        <f>J7-J11</f>
        <v/>
      </c>
      <c r="K13" s="19">
        <f>K7-K11</f>
        <v/>
      </c>
      <c r="L13" s="19">
        <f>L7-L11</f>
        <v/>
      </c>
      <c r="M13" s="19">
        <f>M7-M11</f>
        <v/>
      </c>
      <c r="N13" s="19">
        <f>N7-N11</f>
        <v/>
      </c>
    </row>
    <row r="14">
      <c r="A14" s="4" t="inlineStr">
        <is>
          <t xml:space="preserve">  Operating margin %</t>
        </is>
      </c>
      <c r="C14" s="28">
        <f>C13/C5</f>
        <v/>
      </c>
      <c r="D14" s="28">
        <f>D13/D5</f>
        <v/>
      </c>
      <c r="E14" s="28">
        <f>E13/E5</f>
        <v/>
      </c>
      <c r="F14" s="28">
        <f>F13/F5</f>
        <v/>
      </c>
      <c r="G14" s="28">
        <f>G13/G5</f>
        <v/>
      </c>
      <c r="H14" s="28">
        <f>H13/H5</f>
        <v/>
      </c>
      <c r="I14" s="28">
        <f>I13/I5</f>
        <v/>
      </c>
      <c r="J14" s="28">
        <f>J13/J5</f>
        <v/>
      </c>
      <c r="K14" s="28">
        <f>K13/K5</f>
        <v/>
      </c>
      <c r="L14" s="28">
        <f>L13/L5</f>
        <v/>
      </c>
      <c r="M14" s="28">
        <f>M13/M5</f>
        <v/>
      </c>
      <c r="N14" s="28">
        <f>N13/N5</f>
        <v/>
      </c>
    </row>
    <row r="16">
      <c r="A16" s="15" t="inlineStr">
        <is>
          <t>Interest income (on cash)</t>
        </is>
      </c>
      <c r="C16" s="16" t="n">
        <v>25</v>
      </c>
      <c r="D16" s="16" t="n">
        <v>28</v>
      </c>
      <c r="E16" s="16" t="n">
        <v>80</v>
      </c>
      <c r="F16" s="16" t="n">
        <v>75</v>
      </c>
      <c r="G16" s="16" t="n">
        <v>65</v>
      </c>
      <c r="H16" s="16" t="n">
        <v>55</v>
      </c>
      <c r="I16" s="16" t="n">
        <v>45</v>
      </c>
      <c r="J16" s="16" t="n">
        <v>35</v>
      </c>
      <c r="K16" s="16" t="n">
        <v>25</v>
      </c>
      <c r="L16" s="16" t="n">
        <v>15</v>
      </c>
      <c r="M16" s="16" t="n">
        <v>10</v>
      </c>
      <c r="N16" s="16" t="n">
        <v>5</v>
      </c>
    </row>
    <row r="17">
      <c r="A17" s="13" t="inlineStr">
        <is>
          <t>Pre-tax income (loss)</t>
        </is>
      </c>
      <c r="C17" s="14">
        <f>C13+C16</f>
        <v/>
      </c>
      <c r="D17" s="14">
        <f>D13+D16</f>
        <v/>
      </c>
      <c r="E17" s="14">
        <f>E13+E16</f>
        <v/>
      </c>
      <c r="F17" s="14">
        <f>F13+F16</f>
        <v/>
      </c>
      <c r="G17" s="14">
        <f>G13+G16</f>
        <v/>
      </c>
      <c r="H17" s="14">
        <f>H13+H16</f>
        <v/>
      </c>
      <c r="I17" s="14">
        <f>I13+I16</f>
        <v/>
      </c>
      <c r="J17" s="14">
        <f>J13+J16</f>
        <v/>
      </c>
      <c r="K17" s="14">
        <f>K13+K16</f>
        <v/>
      </c>
      <c r="L17" s="14">
        <f>L13+L16</f>
        <v/>
      </c>
      <c r="M17" s="14">
        <f>M13+M16</f>
        <v/>
      </c>
      <c r="N17" s="14">
        <f>N13+N16</f>
        <v/>
      </c>
    </row>
    <row r="18">
      <c r="A18" s="15" t="inlineStr">
        <is>
          <t>Tax provision (cash 0% pre-profit, 21% post)</t>
        </is>
      </c>
      <c r="C18" s="17">
        <f>MAX(0,C17)*0.21</f>
        <v/>
      </c>
      <c r="D18" s="17">
        <f>MAX(0,D17)*0.21</f>
        <v/>
      </c>
      <c r="E18" s="17">
        <f>MAX(0,E17)*0.21</f>
        <v/>
      </c>
      <c r="F18" s="17">
        <f>MAX(0,F17)*0.21</f>
        <v/>
      </c>
      <c r="G18" s="17">
        <f>MAX(0,G17)*0.21</f>
        <v/>
      </c>
      <c r="H18" s="17">
        <f>MAX(0,H17)*0.21</f>
        <v/>
      </c>
      <c r="I18" s="17">
        <f>MAX(0,I17)*0.21</f>
        <v/>
      </c>
      <c r="J18" s="17">
        <f>MAX(0,J17)*0.21</f>
        <v/>
      </c>
      <c r="K18" s="17">
        <f>MAX(0,K17)*0.21</f>
        <v/>
      </c>
      <c r="L18" s="17">
        <f>MAX(0,L17)*0.21</f>
        <v/>
      </c>
      <c r="M18" s="17">
        <f>MAX(0,M17)*0.21</f>
        <v/>
      </c>
      <c r="N18" s="17">
        <f>MAX(0,N17)*0.21</f>
        <v/>
      </c>
    </row>
    <row r="19">
      <c r="A19" s="18" t="inlineStr">
        <is>
          <t>Net income (loss)</t>
        </is>
      </c>
      <c r="C19" s="19">
        <f>C17-C18</f>
        <v/>
      </c>
      <c r="D19" s="19">
        <f>D17-D18</f>
        <v/>
      </c>
      <c r="E19" s="19">
        <f>E17-E18</f>
        <v/>
      </c>
      <c r="F19" s="19">
        <f>F17-F18</f>
        <v/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  <c r="L19" s="19">
        <f>L17-L18</f>
        <v/>
      </c>
      <c r="M19" s="19">
        <f>M17-M18</f>
        <v/>
      </c>
      <c r="N19" s="19">
        <f>N17-N18</f>
        <v/>
      </c>
    </row>
    <row r="20">
      <c r="A20" s="4" t="inlineStr">
        <is>
          <t xml:space="preserve">  EPS (diluted, $)</t>
        </is>
      </c>
      <c r="C20" s="7">
        <f>C19/Drivers!C19</f>
        <v/>
      </c>
      <c r="D20" s="7">
        <f>D19/Drivers!D19</f>
        <v/>
      </c>
      <c r="E20" s="7">
        <f>E19/Drivers!E19</f>
        <v/>
      </c>
      <c r="F20" s="7">
        <f>F19/Drivers!F19</f>
        <v/>
      </c>
      <c r="G20" s="7">
        <f>G19/Drivers!G19</f>
        <v/>
      </c>
      <c r="H20" s="7">
        <f>H19/Drivers!H19</f>
        <v/>
      </c>
      <c r="I20" s="7">
        <f>I19/Drivers!I19</f>
        <v/>
      </c>
      <c r="J20" s="7">
        <f>J19/Drivers!J19</f>
        <v/>
      </c>
      <c r="K20" s="7">
        <f>K19/Drivers!K19</f>
        <v/>
      </c>
      <c r="L20" s="7">
        <f>L19/Drivers!L19</f>
        <v/>
      </c>
      <c r="M20" s="7">
        <f>M19/Drivers!M19</f>
        <v/>
      </c>
      <c r="N20" s="7">
        <f>N19/Drivers!N19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Quantinuum Inc. (QNT) — Drivers &amp; Assumptions</t>
        </is>
      </c>
    </row>
    <row r="3">
      <c r="A3" s="11" t="inlineStr">
        <is>
          <t>($ in millions)</t>
        </is>
      </c>
      <c r="C3" s="12" t="inlineStr">
        <is>
          <t>FY2024A</t>
        </is>
      </c>
      <c r="D3" s="12" t="inlineStr">
        <is>
          <t>FY2025A</t>
        </is>
      </c>
      <c r="E3" s="12" t="inlineStr">
        <is>
          <t>FY2026E</t>
        </is>
      </c>
      <c r="F3" s="12" t="inlineStr">
        <is>
          <t>FY2027E</t>
        </is>
      </c>
      <c r="G3" s="12" t="inlineStr">
        <is>
          <t>FY2028E</t>
        </is>
      </c>
      <c r="H3" s="12" t="inlineStr">
        <is>
          <t>FY2029E</t>
        </is>
      </c>
      <c r="I3" s="12" t="inlineStr">
        <is>
          <t>FY2030E</t>
        </is>
      </c>
      <c r="J3" s="12" t="inlineStr">
        <is>
          <t>FY2031E</t>
        </is>
      </c>
      <c r="K3" s="12" t="inlineStr">
        <is>
          <t>FY2032E</t>
        </is>
      </c>
      <c r="L3" s="12" t="inlineStr">
        <is>
          <t>FY2033E</t>
        </is>
      </c>
      <c r="M3" s="12" t="inlineStr">
        <is>
          <t>FY2034E</t>
        </is>
      </c>
      <c r="N3" s="12" t="inlineStr">
        <is>
          <t>FY2035E</t>
        </is>
      </c>
    </row>
    <row r="5">
      <c r="A5" s="18" t="inlineStr">
        <is>
          <t>Revenue build ($M)</t>
        </is>
      </c>
    </row>
    <row r="6">
      <c r="A6" s="15" t="inlineStr">
        <is>
          <t xml:space="preserve">  RIKEN system + maintenance</t>
        </is>
      </c>
      <c r="C6" s="16" t="n">
        <v>14.5</v>
      </c>
      <c r="D6" s="16" t="n">
        <v>18.5</v>
      </c>
      <c r="E6" s="16" t="n">
        <v>4</v>
      </c>
      <c r="F6" s="16" t="n">
        <v>2</v>
      </c>
      <c r="G6" s="16" t="n">
        <v>1</v>
      </c>
      <c r="H6" s="16" t="n">
        <v>0.5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</row>
    <row r="7">
      <c r="A7" s="15" t="inlineStr">
        <is>
          <t xml:space="preserve">  Helios cloud + on-prem (commercial)</t>
        </is>
      </c>
      <c r="C7" s="16" t="n">
        <v>4</v>
      </c>
      <c r="D7" s="16" t="n">
        <v>5</v>
      </c>
      <c r="E7" s="16" t="n">
        <v>22</v>
      </c>
      <c r="F7" s="16" t="n">
        <v>75</v>
      </c>
      <c r="G7" s="16" t="n">
        <v>180</v>
      </c>
      <c r="H7" s="16" t="n">
        <v>350</v>
      </c>
      <c r="I7" s="16" t="n">
        <v>580</v>
      </c>
      <c r="J7" s="16" t="n">
        <v>850</v>
      </c>
      <c r="K7" s="16" t="n">
        <v>1180</v>
      </c>
      <c r="L7" s="16" t="n">
        <v>1550</v>
      </c>
      <c r="M7" s="16" t="n">
        <v>1980</v>
      </c>
      <c r="N7" s="16" t="n">
        <v>2480</v>
      </c>
    </row>
    <row r="8">
      <c r="A8" s="15" t="inlineStr">
        <is>
          <t xml:space="preserve">  Quantum Origin + InQuanto SaaS</t>
        </is>
      </c>
      <c r="C8" s="16" t="n">
        <v>2.5</v>
      </c>
      <c r="D8" s="16" t="n">
        <v>4</v>
      </c>
      <c r="E8" s="16" t="n">
        <v>8</v>
      </c>
      <c r="F8" s="16" t="n">
        <v>16</v>
      </c>
      <c r="G8" s="16" t="n">
        <v>32</v>
      </c>
      <c r="H8" s="16" t="n">
        <v>60</v>
      </c>
      <c r="I8" s="16" t="n">
        <v>100</v>
      </c>
      <c r="J8" s="16" t="n">
        <v>160</v>
      </c>
      <c r="K8" s="16" t="n">
        <v>240</v>
      </c>
      <c r="L8" s="16" t="n">
        <v>340</v>
      </c>
      <c r="M8" s="16" t="n">
        <v>460</v>
      </c>
      <c r="N8" s="16" t="n">
        <v>600</v>
      </c>
    </row>
    <row r="9">
      <c r="A9" s="15" t="inlineStr">
        <is>
          <t xml:space="preserve">  Government / DARPA / CHIPS</t>
        </is>
      </c>
      <c r="C9" s="16" t="n">
        <v>2</v>
      </c>
      <c r="D9" s="16" t="n">
        <v>3.4</v>
      </c>
      <c r="E9" s="16" t="n">
        <v>6</v>
      </c>
      <c r="F9" s="16" t="n">
        <v>12</v>
      </c>
      <c r="G9" s="16" t="n">
        <v>20</v>
      </c>
      <c r="H9" s="16" t="n">
        <v>30</v>
      </c>
      <c r="I9" s="16" t="n">
        <v>45</v>
      </c>
      <c r="J9" s="16" t="n">
        <v>65</v>
      </c>
      <c r="K9" s="16" t="n">
        <v>90</v>
      </c>
      <c r="L9" s="16" t="n">
        <v>120</v>
      </c>
      <c r="M9" s="16" t="n">
        <v>160</v>
      </c>
      <c r="N9" s="16" t="n">
        <v>200</v>
      </c>
    </row>
    <row r="10">
      <c r="A10" s="13" t="inlineStr">
        <is>
          <t>Total revenue</t>
        </is>
      </c>
      <c r="C10" s="25">
        <f>SUM(C6:C9)</f>
        <v/>
      </c>
      <c r="D10" s="25">
        <f>SUM(D6:D9)</f>
        <v/>
      </c>
      <c r="E10" s="25">
        <f>SUM(E6:E9)</f>
        <v/>
      </c>
      <c r="F10" s="25">
        <f>SUM(F6:F9)</f>
        <v/>
      </c>
      <c r="G10" s="25">
        <f>SUM(G6:G9)</f>
        <v/>
      </c>
      <c r="H10" s="25">
        <f>SUM(H6:H9)</f>
        <v/>
      </c>
      <c r="I10" s="25">
        <f>SUM(I6:I9)</f>
        <v/>
      </c>
      <c r="J10" s="25">
        <f>SUM(J6:J9)</f>
        <v/>
      </c>
      <c r="K10" s="25">
        <f>SUM(K6:K9)</f>
        <v/>
      </c>
      <c r="L10" s="25">
        <f>SUM(L6:L9)</f>
        <v/>
      </c>
      <c r="M10" s="25">
        <f>SUM(M6:M9)</f>
        <v/>
      </c>
      <c r="N10" s="25">
        <f>SUM(N6:N9)</f>
        <v/>
      </c>
    </row>
    <row r="11">
      <c r="A11" s="4" t="inlineStr">
        <is>
          <t xml:space="preserve">  YoY growth</t>
        </is>
      </c>
      <c r="C11" s="11" t="inlineStr"/>
      <c r="D11" s="28">
        <f>D10/C10-1</f>
        <v/>
      </c>
      <c r="E11" s="28">
        <f>E10/D10-1</f>
        <v/>
      </c>
      <c r="F11" s="28">
        <f>F10/E10-1</f>
        <v/>
      </c>
      <c r="G11" s="28">
        <f>G10/F10-1</f>
        <v/>
      </c>
      <c r="H11" s="28">
        <f>H10/G10-1</f>
        <v/>
      </c>
      <c r="I11" s="28">
        <f>I10/H10-1</f>
        <v/>
      </c>
      <c r="J11" s="28">
        <f>J10/I10-1</f>
        <v/>
      </c>
      <c r="K11" s="28">
        <f>K10/J10-1</f>
        <v/>
      </c>
      <c r="L11" s="28">
        <f>L10/K10-1</f>
        <v/>
      </c>
      <c r="M11" s="28">
        <f>M10/L10-1</f>
        <v/>
      </c>
      <c r="N11" s="28">
        <f>N10/M10-1</f>
        <v/>
      </c>
    </row>
    <row r="13">
      <c r="A13" s="18" t="inlineStr">
        <is>
          <t>Operating model</t>
        </is>
      </c>
    </row>
    <row r="14">
      <c r="A14" s="15" t="inlineStr">
        <is>
          <t xml:space="preserve">  Gross margin %</t>
        </is>
      </c>
      <c r="C14" s="29" t="n">
        <v>0.3</v>
      </c>
      <c r="D14" s="29" t="n">
        <v>0.32</v>
      </c>
      <c r="E14" s="29" t="n">
        <v>0.38</v>
      </c>
      <c r="F14" s="29" t="n">
        <v>0.45</v>
      </c>
      <c r="G14" s="29" t="n">
        <v>0.52</v>
      </c>
      <c r="H14" s="29" t="n">
        <v>0.58</v>
      </c>
      <c r="I14" s="29" t="n">
        <v>0.62</v>
      </c>
      <c r="J14" s="29" t="n">
        <v>0.65</v>
      </c>
      <c r="K14" s="29" t="n">
        <v>0.67</v>
      </c>
      <c r="L14" s="29" t="n">
        <v>0.68</v>
      </c>
      <c r="M14" s="29" t="n">
        <v>0.6899999999999999</v>
      </c>
      <c r="N14" s="29" t="n">
        <v>0.7</v>
      </c>
    </row>
    <row r="15">
      <c r="A15" s="15" t="inlineStr">
        <is>
          <t xml:space="preserve">  R&amp;D % of revenue</t>
        </is>
      </c>
      <c r="C15" s="29" t="n">
        <v>4.5</v>
      </c>
      <c r="D15" s="29" t="n">
        <v>5.4</v>
      </c>
      <c r="E15" s="29" t="n">
        <v>2.8</v>
      </c>
      <c r="F15" s="29" t="n">
        <v>1.2</v>
      </c>
      <c r="G15" s="29" t="n">
        <v>0.55</v>
      </c>
      <c r="H15" s="29" t="n">
        <v>0.32</v>
      </c>
      <c r="I15" s="29" t="n">
        <v>0.22</v>
      </c>
      <c r="J15" s="29" t="n">
        <v>0.16</v>
      </c>
      <c r="K15" s="29" t="n">
        <v>0.13</v>
      </c>
      <c r="L15" s="29" t="n">
        <v>0.11</v>
      </c>
      <c r="M15" s="29" t="n">
        <v>0.1</v>
      </c>
      <c r="N15" s="29" t="n">
        <v>0.09</v>
      </c>
    </row>
    <row r="16">
      <c r="A16" s="15" t="inlineStr">
        <is>
          <t xml:space="preserve">  SG&amp;A % of revenue</t>
        </is>
      </c>
      <c r="C16" s="29" t="n">
        <v>1.5</v>
      </c>
      <c r="D16" s="29" t="n">
        <v>1.8</v>
      </c>
      <c r="E16" s="29" t="n">
        <v>1.1</v>
      </c>
      <c r="F16" s="29" t="n">
        <v>0.55</v>
      </c>
      <c r="G16" s="29" t="n">
        <v>0.3</v>
      </c>
      <c r="H16" s="29" t="n">
        <v>0.2</v>
      </c>
      <c r="I16" s="29" t="n">
        <v>0.16</v>
      </c>
      <c r="J16" s="29" t="n">
        <v>0.14</v>
      </c>
      <c r="K16" s="29" t="n">
        <v>0.12</v>
      </c>
      <c r="L16" s="29" t="n">
        <v>0.11</v>
      </c>
      <c r="M16" s="29" t="n">
        <v>0.1</v>
      </c>
      <c r="N16" s="29" t="n">
        <v>0.1</v>
      </c>
    </row>
    <row r="18">
      <c r="A18" s="18" t="inlineStr">
        <is>
          <t>Capital structure &amp; cash</t>
        </is>
      </c>
    </row>
    <row r="19">
      <c r="A19" s="15" t="inlineStr">
        <is>
          <t xml:space="preserve">  Shares outstanding (M, fully diluted)</t>
        </is>
      </c>
      <c r="C19" s="16" t="n">
        <v>200</v>
      </c>
      <c r="D19" s="16" t="n">
        <v>226</v>
      </c>
      <c r="E19" s="16" t="n">
        <v>253.9</v>
      </c>
      <c r="F19" s="16" t="n">
        <v>263</v>
      </c>
      <c r="G19" s="16" t="n">
        <v>273</v>
      </c>
      <c r="H19" s="16" t="n">
        <v>283</v>
      </c>
      <c r="I19" s="16" t="n">
        <v>293</v>
      </c>
      <c r="J19" s="16" t="n">
        <v>303</v>
      </c>
      <c r="K19" s="16" t="n">
        <v>313</v>
      </c>
      <c r="L19" s="16" t="n">
        <v>323</v>
      </c>
      <c r="M19" s="16" t="n">
        <v>333</v>
      </c>
      <c r="N19" s="16" t="n">
        <v>343</v>
      </c>
    </row>
    <row r="20">
      <c r="A20" s="15" t="inlineStr">
        <is>
          <t xml:space="preserve">  Capex % of revenue</t>
        </is>
      </c>
      <c r="C20" s="29" t="n">
        <v>0.8</v>
      </c>
      <c r="D20" s="29" t="n">
        <v>0.65</v>
      </c>
      <c r="E20" s="29" t="n">
        <v>0.4</v>
      </c>
      <c r="F20" s="29" t="n">
        <v>0.25</v>
      </c>
      <c r="G20" s="29" t="n">
        <v>0.18</v>
      </c>
      <c r="H20" s="29" t="n">
        <v>0.14</v>
      </c>
      <c r="I20" s="29" t="n">
        <v>0.12</v>
      </c>
      <c r="J20" s="29" t="n">
        <v>0.1</v>
      </c>
      <c r="K20" s="29" t="n">
        <v>0.09</v>
      </c>
      <c r="L20" s="29" t="n">
        <v>0.08</v>
      </c>
      <c r="M20" s="29" t="n">
        <v>0.08</v>
      </c>
      <c r="N20" s="29" t="n">
        <v>0.07000000000000001</v>
      </c>
    </row>
    <row r="21">
      <c r="A21" s="15" t="inlineStr">
        <is>
          <t xml:space="preserve">  D&amp;A % of revenue</t>
        </is>
      </c>
      <c r="C21" s="29" t="n">
        <v>0.5</v>
      </c>
      <c r="D21" s="29" t="n">
        <v>0.4</v>
      </c>
      <c r="E21" s="29" t="n">
        <v>0.28</v>
      </c>
      <c r="F21" s="29" t="n">
        <v>0.2</v>
      </c>
      <c r="G21" s="29" t="n">
        <v>0.15</v>
      </c>
      <c r="H21" s="29" t="n">
        <v>0.12</v>
      </c>
      <c r="I21" s="29" t="n">
        <v>0.1</v>
      </c>
      <c r="J21" s="29" t="n">
        <v>0.08</v>
      </c>
      <c r="K21" s="29" t="n">
        <v>0.07000000000000001</v>
      </c>
      <c r="L21" s="29" t="n">
        <v>0.06</v>
      </c>
      <c r="M21" s="29" t="n">
        <v>0.06</v>
      </c>
      <c r="N21" s="29" t="n">
        <v>0.05</v>
      </c>
    </row>
    <row r="23">
      <c r="A23" s="18" t="inlineStr">
        <is>
          <t>WACC inputs</t>
        </is>
      </c>
    </row>
    <row r="24">
      <c r="A24" s="15" t="inlineStr">
        <is>
          <t xml:space="preserve">  Risk-free rate (10Y UST, Jun-26)</t>
        </is>
      </c>
      <c r="C24" s="29" t="n">
        <v>0.043</v>
      </c>
    </row>
    <row r="25">
      <c r="A25" s="15" t="inlineStr">
        <is>
          <t xml:space="preserve">  Equity risk premium</t>
        </is>
      </c>
      <c r="C25" s="29" t="n">
        <v>0.055</v>
      </c>
    </row>
    <row r="26">
      <c r="A26" s="15" t="inlineStr">
        <is>
          <t xml:space="preserve">  Beta (pre-profit quantum proxy)</t>
        </is>
      </c>
      <c r="C26" s="16" t="n">
        <v>2.1</v>
      </c>
    </row>
    <row r="27">
      <c r="A27" s="13" t="inlineStr">
        <is>
          <t xml:space="preserve">  WACC = rf + beta * ERP</t>
        </is>
      </c>
      <c r="C27" s="27">
        <f>C24+C26*C25</f>
        <v/>
      </c>
    </row>
    <row r="28">
      <c r="A28" s="15" t="inlineStr">
        <is>
          <t xml:space="preserve">  Terminal growth rate</t>
        </is>
      </c>
      <c r="C28" s="29" t="n">
        <v>0.04</v>
      </c>
    </row>
  </sheetData>
  <mergeCells count="1">
    <mergeCell ref="A1:N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2026-06-04T19:57:46Z</dcterms:created>
  <dcterms:modified xmlns:dcterms="http://purl.org/dc/terms/" xmlns:xsi="http://www.w3.org/2001/XMLSchema-instance" xsi:type="dcterms:W3CDTF">2026-06-04T19:57:46Z</dcterms:modified>
</cp:coreProperties>
</file>
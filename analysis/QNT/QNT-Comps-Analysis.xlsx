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ech &amp; Growth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Operating Metrics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#,##0.0"/>
    <numFmt numFmtId="166" formatCode="0.0%"/>
    <numFmt numFmtId="167" formatCode="0.0&quot;x&quot;"/>
  </numFmts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i val="1"/>
      <color rgb="00595959"/>
      <sz val="10"/>
    </font>
    <font>
      <name val="Times New Roman"/>
      <b val="1"/>
      <color rgb="0017365D"/>
      <sz val="11"/>
    </font>
    <font>
      <name val="Times New Roman"/>
      <b val="1"/>
      <sz val="11"/>
    </font>
    <font>
      <name val="Times New Roman"/>
      <color rgb="000000FF"/>
      <sz val="11"/>
    </font>
    <font>
      <name val="Times New Roman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top" wrapText="1"/>
    </xf>
    <xf numFmtId="3" fontId="4" fillId="3" borderId="0" applyAlignment="1" pivotButton="0" quotePrefix="0" xfId="0">
      <alignment horizontal="right" vertical="center"/>
    </xf>
    <xf numFmtId="3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167" fontId="4" fillId="3" borderId="0" applyAlignment="1" pivotButton="0" quotePrefix="0" xfId="0">
      <alignment horizontal="right" vertical="center"/>
    </xf>
    <xf numFmtId="167" fontId="4" fillId="5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7" fontId="4" fillId="6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164" fontId="4" fillId="6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3" fontId="5" fillId="3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165" fontId="4" fillId="5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Model</author>
  </authors>
  <commentList>
    <comment ref="B6" authorId="0" shapeId="0">
      <text>
        <t>QNT Q1'26 net loss $136.6M; SBC est ~$7M strip = ~$130M cash loss [E]</t>
      </text>
    </comment>
    <comment ref="C6" authorId="0" shapeId="0">
      <text>
        <t>IONQ Q1'26 Adj. EBITDA loss ($96.8M) (ex-SkyWater $85M)</t>
      </text>
    </comment>
    <comment ref="D6" authorId="0" shapeId="0">
      <text>
        <t>RGTI Q1'26 non-GAAP net loss ($14.7M)</t>
      </text>
    </comment>
    <comment ref="E6" authorId="0" shapeId="0">
      <text>
        <t>QBTS Q1'26 net loss ($18.4M)</t>
      </text>
    </comment>
    <comment ref="F6" authorId="0" shapeId="0">
      <text>
        <t>HON Q1'26 segment profit proxy [E]</t>
      </text>
    </comment>
    <comment ref="B7" authorId="0" shapeId="0">
      <text>
        <t>S-1: QNT FY25 R&amp;D $165.4M</t>
      </text>
    </comment>
    <comment ref="C7" authorId="0" shapeId="0">
      <text>
        <t>IONQ FY25 R&amp;D [E]</t>
      </text>
    </comment>
    <comment ref="D7" authorId="0" shapeId="0">
      <text>
        <t>RGTI FY25 R&amp;D</t>
      </text>
    </comment>
    <comment ref="E7" authorId="0" shapeId="0">
      <text>
        <t>QBTS FY25 R&amp;D [E]</t>
      </text>
    </comment>
    <comment ref="F7" authorId="0" shapeId="0">
      <text>
        <t>HON FY25 R&amp;D [E]</t>
      </text>
    </comment>
    <comment ref="B9" authorId="0" shapeId="0">
      <text>
        <t>QNT FY25 FCF est -$220M extrapolated 2x = ~-$440M run-rate [E]</t>
      </text>
    </comment>
    <comment ref="C9" authorId="0" shapeId="0">
      <text>
        <t>IONQ extrapolated burn [E]</t>
      </text>
    </comment>
    <comment ref="D9" authorId="0" shapeId="0">
      <text>
        <t>RGTI extrapolated burn [E]</t>
      </text>
    </comment>
    <comment ref="E9" authorId="0" shapeId="0">
      <text>
        <t>QBTS extrapolated burn [E]</t>
      </text>
    </comment>
    <comment ref="F9" authorId="0" shapeId="0">
      <text>
        <t>HON +$6.5B FCF (mature)</t>
      </text>
    </comment>
    <comment ref="B12" authorId="0" shapeId="0">
      <text>
        <t>QNT: RIKEN 60% FY25 (7% Q1'26 — cliff)</t>
      </text>
    </comment>
    <comment ref="C12" authorId="0" shapeId="0">
      <text>
        <t>IONQ: govt/AWS large but spread [E]</t>
      </text>
    </comment>
    <comment ref="D12" authorId="0" shapeId="0">
      <text>
        <t>RGTI: govt + Novera concentrated [E]</t>
      </text>
    </comment>
    <comment ref="E12" authorId="0" shapeId="0">
      <text>
        <t>QBTS: 135+ commercial customers [E]</t>
      </text>
    </comment>
    <comment ref="F12" authorId="0" shapeId="0">
      <text>
        <t>HON: very diversified [E]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B6" authorId="0" shapeId="0">
      <text>
        <t>QNT first-trade open Jun 4 2026 (IPO priced $60 prior day)</t>
      </text>
    </comment>
    <comment ref="C6" authorId="0" shapeId="0">
      <text>
        <t>IONQ close Jun 3 2026</t>
      </text>
    </comment>
    <comment ref="D6" authorId="0" shapeId="0">
      <text>
        <t>RGTI close Jun 3 2026</t>
      </text>
    </comment>
    <comment ref="E6" authorId="0" shapeId="0">
      <text>
        <t>QBTS close Jun 3 2026</t>
      </text>
    </comment>
    <comment ref="F6" authorId="0" shapeId="0">
      <text>
        <t>HON close Jun 3 2026 [E]</t>
      </text>
    </comment>
    <comment ref="B7" authorId="0" shapeId="0">
      <text>
        <t>S-1: post-IPO 25.9M Class A + 228.0M Class B</t>
      </text>
    </comment>
    <comment ref="C7" authorId="0" shapeId="0">
      <text>
        <t>IONQ 10-Q Q1 2026</t>
      </text>
    </comment>
    <comment ref="D7" authorId="0" shapeId="0">
      <text>
        <t>RGTI Q1 2026 release</t>
      </text>
    </comment>
    <comment ref="E7" authorId="0" shapeId="0">
      <text>
        <t>QBTS Q1 2026 8-K</t>
      </text>
    </comment>
    <comment ref="F7" authorId="0" shapeId="0">
      <text>
        <t>HON share count [E]</t>
      </text>
    </comment>
    <comment ref="B9" authorId="0" shapeId="0">
      <text>
        <t>$677M pre-IPO + $1,580M IPO net + ITM warrants $80M = ~$2,080M [E]</t>
      </text>
    </comment>
    <comment ref="C9" authorId="0" shapeId="0">
      <text>
        <t>IONQ Q1 2026 (3/31/26)</t>
      </text>
    </comment>
    <comment ref="D9" authorId="0" shapeId="0">
      <text>
        <t>RGTI Q1 2026</t>
      </text>
    </comment>
    <comment ref="E9" authorId="0" shapeId="0">
      <text>
        <t>QBTS Q1 2026</t>
      </text>
    </comment>
    <comment ref="F9" authorId="0" shapeId="0">
      <text>
        <t>HON cash [E]</t>
      </text>
    </comment>
    <comment ref="F10" authorId="0" shapeId="0">
      <text>
        <t>HON total debt [E]</t>
      </text>
    </comment>
    <comment ref="B14" authorId="0" shapeId="0">
      <text>
        <t>S-1: FY25 revenue $30.9M (+34% YoY)</t>
      </text>
    </comment>
    <comment ref="C14" authorId="0" shapeId="0">
      <text>
        <t>IONQ FY2025 release</t>
      </text>
    </comment>
    <comment ref="D14" authorId="0" shapeId="0">
      <text>
        <t>RGTI FY2025 release</t>
      </text>
    </comment>
    <comment ref="E14" authorId="0" shapeId="0">
      <text>
        <t>QBTS FY2025 release</t>
      </text>
    </comment>
    <comment ref="F14" authorId="0" shapeId="0">
      <text>
        <t>HON FY2025 revenue [E]</t>
      </text>
    </comment>
    <comment ref="B15" authorId="0" shapeId="0">
      <text>
        <t>S-1 Q1 26: $5.2M (-13% vs Q1'25 driven by RIKEN runoff)</t>
      </text>
    </comment>
    <comment ref="C15" authorId="0" shapeId="0">
      <text>
        <t>IONQ Q1 2026 +755% YoY</t>
      </text>
    </comment>
    <comment ref="D15" authorId="0" shapeId="0">
      <text>
        <t>RGTI Q1 2026 +199% YoY</t>
      </text>
    </comment>
    <comment ref="E15" authorId="0" shapeId="0">
      <text>
        <t>QBTS Q1 2026 -81% YoY (system sale comp)</t>
      </text>
    </comment>
    <comment ref="F15" authorId="0" shapeId="0">
      <text>
        <t>HON Q1 2026 [E]</t>
      </text>
    </comment>
    <comment ref="B16" authorId="0" shapeId="0">
      <text>
        <t>QNT TTM = FY25 + (Q1'26 - Q1'25): 30.9 + 5.2 - 3.5 = ~$32.6M [E]</t>
      </text>
    </comment>
    <comment ref="C16" authorId="0" shapeId="0">
      <text>
        <t>Peer research agent — IONQ TTM ~$187M</t>
      </text>
    </comment>
    <comment ref="D16" authorId="0" shapeId="0">
      <text>
        <t>RGTI TTM ~$10M</t>
      </text>
    </comment>
    <comment ref="E16" authorId="0" shapeId="0">
      <text>
        <t>QBTS TTM ~$12.5M</t>
      </text>
    </comment>
    <comment ref="F16" authorId="0" shapeId="0">
      <text>
        <t>HON TTM proxy [E]</t>
      </text>
    </comment>
    <comment ref="B18" authorId="0" shapeId="0">
      <text>
        <t>QNT Q1'26 $5.2M vs Q1'25 [E] ~$6M (RIKEN runoff)</t>
      </text>
    </comment>
    <comment ref="C18" authorId="0" shapeId="0">
      <text>
        <t>IONQ +755% from Q1'25 ~$7.6M to Q1'26 $64.7M</t>
      </text>
    </comment>
    <comment ref="D18" authorId="0" shapeId="0">
      <text>
        <t>RGTI +199% (~$1.5M → $4.4M)</t>
      </text>
    </comment>
    <comment ref="E18" authorId="0" shapeId="0">
      <text>
        <t>QBTS -81% (Q1'25 had $15M system sale)</t>
      </text>
    </comment>
    <comment ref="F18" authorId="0" shapeId="0">
      <text>
        <t>HON ~4% [E]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Comps notes</t>
        </is>
      </c>
    </row>
    <row r="2">
      <c r="A2" s="2" t="inlineStr"/>
    </row>
    <row r="3">
      <c r="A3" s="3" t="inlineStr">
        <is>
          <t>PEER SET RATIONALE</t>
        </is>
      </c>
    </row>
    <row r="4">
      <c r="A4" s="2" t="inlineStr">
        <is>
          <t xml:space="preserve">  Comps statistics computed over IONQ, RGTI, QBTS (the 3 public quantum pure-plays).</t>
        </is>
      </c>
    </row>
    <row r="5">
      <c r="A5" s="2" t="inlineStr">
        <is>
          <t xml:space="preserve">  HON is a MEMO column — Honeywell still owns ~48% post-IPO, so worth attributing</t>
        </is>
      </c>
    </row>
    <row r="6">
      <c r="A6" s="2" t="inlineStr">
        <is>
          <t xml:space="preserve">  QNT's marginal value to HON's market cap; not a valuation comp.</t>
        </is>
      </c>
    </row>
    <row r="7">
      <c r="A7" s="2" t="inlineStr"/>
    </row>
    <row r="8">
      <c r="A8" s="3" t="inlineStr">
        <is>
          <t>VALUATION INSIGHT</t>
        </is>
      </c>
    </row>
    <row r="9">
      <c r="A9" s="2" t="inlineStr">
        <is>
          <t xml:space="preserve">  • At $68, QNT trades at ~470-490x EV/FY25 revenue.</t>
        </is>
      </c>
    </row>
    <row r="10">
      <c r="A10" s="2" t="inlineStr">
        <is>
          <t xml:space="preserve">  • Peer median EV/FY25 (IONQ, RGTI, QBTS): ~530x — QNT is roughly IN LINE.</t>
        </is>
      </c>
    </row>
    <row r="11">
      <c r="A11" s="2" t="inlineStr">
        <is>
          <t xml:space="preserve">  • Peer median EV/TTM: ~720x — QNT trades at a DISCOUNT here.</t>
        </is>
      </c>
    </row>
    <row r="12">
      <c r="A12" s="2" t="inlineStr">
        <is>
          <t xml:space="preserve">  • The 'rich vs peers' narrative is wrong. The 'rich vs intrinsic DCF' narrative</t>
        </is>
      </c>
    </row>
    <row r="13">
      <c r="A13" s="2" t="inlineStr">
        <is>
          <t xml:space="preserve">    is correct (see QNT-Model.xlsx; +175% premium to traditional DCF).</t>
        </is>
      </c>
    </row>
    <row r="14">
      <c r="A14" s="2" t="inlineStr"/>
    </row>
    <row r="15">
      <c r="A15" s="3" t="inlineStr">
        <is>
          <t>FOOTBALL FIELD</t>
        </is>
      </c>
    </row>
    <row r="16">
      <c r="A16" s="2" t="inlineStr">
        <is>
          <t xml:space="preserve">  • Range $54 (IONQ-anchored) to ~$150 (QBTS-anchored).</t>
        </is>
      </c>
    </row>
    <row r="17">
      <c r="A17" s="2" t="inlineStr">
        <is>
          <t xml:space="preserve">  • Current price ($68) is in the low-mid range.</t>
        </is>
      </c>
    </row>
    <row r="18">
      <c r="A18" s="2" t="inlineStr">
        <is>
          <t xml:space="preserve">  • Caveat: TTM-based valuation distorted by Q1 26 hyper-growth at IONQ (+755%).</t>
        </is>
      </c>
    </row>
    <row r="19">
      <c r="A19" s="2" t="inlineStr"/>
    </row>
    <row r="20">
      <c r="A20" s="3" t="inlineStr">
        <is>
          <t>CRITICAL HONEYWELL ATTRIBUTION</t>
        </is>
      </c>
    </row>
    <row r="21">
      <c r="A21" s="2" t="inlineStr">
        <is>
          <t xml:space="preserve">  • HON owns ~48% post-IPO of QNT equity worth ~$7.5B at $68/share.</t>
        </is>
      </c>
    </row>
    <row r="22">
      <c r="A22" s="2" t="inlineStr">
        <is>
          <t xml:space="preserve">  • HON market cap ~$138B → QNT stake = ~5.4% of HON value.</t>
        </is>
      </c>
    </row>
    <row r="23">
      <c r="A23" s="2" t="inlineStr">
        <is>
          <t xml:space="preserve">  • Not transformative; modest +ve catalyst for HON shareholders.</t>
        </is>
      </c>
    </row>
    <row r="24">
      <c r="A24" s="2" t="inlineStr">
        <is>
          <t xml:space="preserve">  • HON also retains a 'Transaction Committee' veto on QNT M&amp;A &gt;$10M.</t>
        </is>
      </c>
    </row>
    <row r="25">
      <c r="A25" s="2" t="inlineStr"/>
    </row>
    <row r="26">
      <c r="A26" s="3" t="inlineStr">
        <is>
          <t>DATA GAPS / [E]</t>
        </is>
      </c>
    </row>
    <row r="27">
      <c r="A27" s="2" t="inlineStr">
        <is>
          <t xml:space="preserve">  • IONQ Q1'25 revenue back-solved from +755% YoY statement.</t>
        </is>
      </c>
    </row>
    <row r="28">
      <c r="A28" s="2" t="inlineStr">
        <is>
          <t xml:space="preserve">  • Cash burn run-rates extrapolated from latest-Q net loss (excl. SBC where known).</t>
        </is>
      </c>
    </row>
    <row r="29">
      <c r="A29" s="2" t="inlineStr">
        <is>
          <t xml:space="preserve">  • HON figures rounded estimates; not core to QNT valuation.</t>
        </is>
      </c>
    </row>
    <row r="30">
      <c r="A30" s="2" t="inlineStr"/>
    </row>
    <row r="31">
      <c r="A31" s="3" t="inlineStr">
        <is>
          <t>REFRESH</t>
        </is>
      </c>
    </row>
    <row r="32">
      <c r="A32" s="2" t="inlineStr">
        <is>
          <t xml:space="preserve">  Once full Q2'26 prints (Aug/Sep 2026) are out for IONQ/RGTI/QBTS, refresh TTM</t>
        </is>
      </c>
    </row>
    <row r="33">
      <c r="A33" s="2" t="inlineStr">
        <is>
          <t xml:space="preserve">  revenue and growth rows. QNT's own Q2 print is the first major catalyst.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Technology, customers &amp; growth</t>
        </is>
      </c>
    </row>
    <row r="3">
      <c r="A3" s="4" t="inlineStr"/>
      <c r="B3" s="5" t="inlineStr">
        <is>
          <t>QNT</t>
        </is>
      </c>
      <c r="C3" s="6" t="inlineStr">
        <is>
          <t>IONQ</t>
        </is>
      </c>
      <c r="D3" s="6" t="inlineStr">
        <is>
          <t>RGTI</t>
        </is>
      </c>
      <c r="E3" s="6" t="inlineStr">
        <is>
          <t>QBTS</t>
        </is>
      </c>
      <c r="F3" s="6" t="inlineStr">
        <is>
          <t>HON (memo)</t>
        </is>
      </c>
    </row>
    <row r="4">
      <c r="B4" s="7" t="inlineStr">
        <is>
          <t>Target</t>
        </is>
      </c>
      <c r="C4" s="7" t="inlineStr">
        <is>
          <t>Trapped-ion direct comp</t>
        </is>
      </c>
      <c r="D4" s="7" t="inlineStr">
        <is>
          <t>Superconducting</t>
        </is>
      </c>
      <c r="E4" s="7" t="inlineStr">
        <is>
          <t>Annealing (specialty)</t>
        </is>
      </c>
      <c r="F4" s="7" t="inlineStr">
        <is>
          <t>Parent — 48% post-IPO</t>
        </is>
      </c>
    </row>
    <row r="6" ht="18" customHeight="1">
      <c r="A6" s="8" t="inlineStr">
        <is>
          <t>Modality</t>
        </is>
      </c>
      <c r="B6" s="9" t="inlineStr">
        <is>
          <t>Trapped-ion (QCCD)</t>
        </is>
      </c>
      <c r="C6" s="2" t="inlineStr">
        <is>
          <t>Trapped-ion</t>
        </is>
      </c>
      <c r="D6" s="2" t="inlineStr">
        <is>
          <t>Superconducting</t>
        </is>
      </c>
      <c r="E6" s="2" t="inlineStr">
        <is>
          <t>Quantum annealing</t>
        </is>
      </c>
      <c r="F6" s="2" t="inlineStr">
        <is>
          <t>Industrial conglomerate</t>
        </is>
      </c>
    </row>
    <row r="7" ht="18" customHeight="1">
      <c r="A7" s="8" t="inlineStr">
        <is>
          <t>Latest commercial system</t>
        </is>
      </c>
      <c r="B7" s="9" t="inlineStr">
        <is>
          <t>Helios (Nov 2025)</t>
        </is>
      </c>
      <c r="C7" s="2" t="inlineStr">
        <is>
          <t>Forte / Tempo (2026)</t>
        </is>
      </c>
      <c r="D7" s="2" t="inlineStr">
        <is>
          <t>Cepheus-108Q (Apr 2026)</t>
        </is>
      </c>
      <c r="E7" s="2" t="inlineStr">
        <is>
          <t>Advantage2 (May 2025)</t>
        </is>
      </c>
      <c r="F7" s="2" t="inlineStr">
        <is>
          <t>n/a</t>
        </is>
      </c>
    </row>
    <row r="8" ht="18" customHeight="1">
      <c r="A8" s="8" t="inlineStr">
        <is>
          <t>Qubit count (latest)</t>
        </is>
      </c>
      <c r="B8" s="9" t="inlineStr">
        <is>
          <t>98 (Helios)</t>
        </is>
      </c>
      <c r="C8" s="2" t="inlineStr">
        <is>
          <t>64+ AQ; Tempo 5th gen</t>
        </is>
      </c>
      <c r="D8" s="2" t="inlineStr">
        <is>
          <t>108</t>
        </is>
      </c>
      <c r="E8" s="2" t="inlineStr">
        <is>
          <t>4,400+</t>
        </is>
      </c>
      <c r="F8" s="2" t="inlineStr">
        <is>
          <t>n/a</t>
        </is>
      </c>
    </row>
    <row r="9" ht="18" customHeight="1">
      <c r="A9" s="8" t="inlineStr">
        <is>
          <t>2-qubit gate fidelity</t>
        </is>
      </c>
      <c r="B9" s="9" t="inlineStr">
        <is>
          <t>99.921% (Helios)</t>
        </is>
      </c>
      <c r="C9" s="2" t="inlineStr">
        <is>
          <t>99.99% (lab)</t>
        </is>
      </c>
      <c r="D9" s="2" t="inlineStr">
        <is>
          <t>99.1% on 108Q; 99.9% prototype</t>
        </is>
      </c>
      <c r="E9" s="2" t="inlineStr">
        <is>
          <t>n/a (annealer)</t>
        </is>
      </c>
      <c r="F9" s="2" t="inlineStr">
        <is>
          <t>n/a</t>
        </is>
      </c>
    </row>
    <row r="10" ht="18" customHeight="1">
      <c r="A10" s="8" t="inlineStr">
        <is>
          <t>Quantum Volume record</t>
        </is>
      </c>
      <c r="B10" s="9" t="inlineStr">
        <is>
          <t>2^25 (33M, Sept'25)</t>
        </is>
      </c>
      <c r="C10" s="2" t="inlineStr">
        <is>
          <t>n/d</t>
        </is>
      </c>
      <c r="D10" s="2" t="inlineStr">
        <is>
          <t>n/d</t>
        </is>
      </c>
      <c r="E10" s="2" t="inlineStr">
        <is>
          <t>n/a (annealer)</t>
        </is>
      </c>
      <c r="F10" s="2" t="inlineStr">
        <is>
          <t>n/a</t>
        </is>
      </c>
    </row>
    <row r="11" ht="18" customHeight="1">
      <c r="A11" s="8" t="inlineStr">
        <is>
          <t>Next milestone</t>
        </is>
      </c>
      <c r="B11" s="9" t="inlineStr">
        <is>
          <t>Sol 2027 (192q)</t>
        </is>
      </c>
      <c r="C11" s="2" t="inlineStr">
        <is>
          <t>Tempo / 200k qubits</t>
        </is>
      </c>
      <c r="D11" s="2" t="inlineStr">
        <is>
          <t>99.5% fidelity 2H'26</t>
        </is>
      </c>
      <c r="E11" s="2" t="inlineStr">
        <is>
          <t>Quantum Circuits gate-model</t>
        </is>
      </c>
      <c r="F11" s="2" t="inlineStr">
        <is>
          <t>QNT IPO proceeds</t>
        </is>
      </c>
    </row>
    <row r="12" ht="18" customHeight="1">
      <c r="A12" s="8" t="inlineStr">
        <is>
          <t>FTQC roadmap year</t>
        </is>
      </c>
      <c r="B12" s="9" t="inlineStr">
        <is>
          <t>2029 (Apollo)</t>
        </is>
      </c>
      <c r="C12" s="2" t="inlineStr">
        <is>
          <t>2028 functional test</t>
        </is>
      </c>
      <c r="D12" s="2" t="inlineStr">
        <is>
          <t>~3 yrs to QC advantage</t>
        </is>
      </c>
      <c r="E12" s="2" t="inlineStr">
        <is>
          <t>QCI gate-model acquisition</t>
        </is>
      </c>
      <c r="F12" s="2" t="inlineStr">
        <is>
          <t>n/a</t>
        </is>
      </c>
    </row>
    <row r="13" ht="30" customHeight="1">
      <c r="A13" s="8" t="inlineStr">
        <is>
          <t>Marquee customers</t>
        </is>
      </c>
      <c r="B13" s="9" t="inlineStr">
        <is>
          <t>RIKEN, JPMC, BMW,
Amgen, MSFT, SoftBank</t>
        </is>
      </c>
      <c r="C13" s="2" t="inlineStr">
        <is>
          <t>AWS, AstraZeneca,
NVIDIA, AFRL, ORNL</t>
        </is>
      </c>
      <c r="D13" s="2" t="inlineStr">
        <is>
          <t>Novera ($5.7M),
DOE, AFRL, Japan QPU</t>
        </is>
      </c>
      <c r="E13" s="2" t="inlineStr">
        <is>
          <t>Mastercard, Lockheed,
135+ commercial</t>
        </is>
      </c>
      <c r="F13" s="2" t="inlineStr">
        <is>
          <t>Aerospace, defense,
automation, energy</t>
        </is>
      </c>
    </row>
    <row r="14" ht="18" customHeight="1">
      <c r="A14" s="8" t="inlineStr">
        <is>
          <t>Govt revenue exposure</t>
        </is>
      </c>
      <c r="B14" s="9" t="inlineStr">
        <is>
          <t>DARPA QBI Stage B,
$100M CHIPS LOI</t>
        </is>
      </c>
      <c r="C14" s="2" t="inlineStr">
        <is>
          <t>DARPA HARQ + others</t>
        </is>
      </c>
      <c r="D14" s="2" t="inlineStr">
        <is>
          <t>DOE, AFRL</t>
        </is>
      </c>
      <c r="E14" s="2" t="inlineStr">
        <is>
          <t>Various govt</t>
        </is>
      </c>
      <c r="F14" s="2" t="inlineStr">
        <is>
          <t>Major defense</t>
        </is>
      </c>
    </row>
    <row r="15" ht="18" customHeight="1">
      <c r="A15" s="8" t="inlineStr">
        <is>
          <t>Modality maturity assessment</t>
        </is>
      </c>
      <c r="B15" s="9" t="inlineStr">
        <is>
          <t>High fidelity; scaling
the key risk</t>
        </is>
      </c>
      <c r="C15" s="2" t="inlineStr">
        <is>
          <t>Production-scale
revenue</t>
        </is>
      </c>
      <c r="D15" s="2" t="inlineStr">
        <is>
          <t>Roadmap uncertain</t>
        </is>
      </c>
      <c r="E15" s="2" t="inlineStr">
        <is>
          <t>Annealer NOT gate-model;
adding via M&amp;A</t>
        </is>
      </c>
      <c r="F15" s="2" t="inlineStr">
        <is>
          <t>Diversified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Valuation multiples</t>
        </is>
      </c>
    </row>
    <row r="3">
      <c r="A3" s="4" t="inlineStr"/>
      <c r="B3" s="5" t="inlineStr">
        <is>
          <t>QNT</t>
        </is>
      </c>
      <c r="C3" s="6" t="inlineStr">
        <is>
          <t>IONQ</t>
        </is>
      </c>
      <c r="D3" s="6" t="inlineStr">
        <is>
          <t>RGTI</t>
        </is>
      </c>
      <c r="E3" s="6" t="inlineStr">
        <is>
          <t>QBTS</t>
        </is>
      </c>
      <c r="F3" s="6" t="inlineStr">
        <is>
          <t>HON (memo)</t>
        </is>
      </c>
    </row>
    <row r="4">
      <c r="B4" s="7" t="inlineStr">
        <is>
          <t>Target</t>
        </is>
      </c>
      <c r="C4" s="7" t="inlineStr">
        <is>
          <t>Trapped-ion direct comp</t>
        </is>
      </c>
      <c r="D4" s="7" t="inlineStr">
        <is>
          <t>Superconducting</t>
        </is>
      </c>
      <c r="E4" s="7" t="inlineStr">
        <is>
          <t>Annealing (specialty)</t>
        </is>
      </c>
      <c r="F4" s="7" t="inlineStr">
        <is>
          <t>Parent — 48% post-IPO</t>
        </is>
      </c>
    </row>
    <row r="6">
      <c r="A6" s="8" t="inlineStr">
        <is>
          <t>Enterprise value ($M)</t>
        </is>
      </c>
      <c r="B6" s="10">
        <f>Inputs!B11</f>
        <v/>
      </c>
      <c r="C6" s="11">
        <f>Inputs!C11</f>
        <v/>
      </c>
      <c r="D6" s="11">
        <f>Inputs!D11</f>
        <v/>
      </c>
      <c r="E6" s="11">
        <f>Inputs!E11</f>
        <v/>
      </c>
      <c r="F6" s="11">
        <f>Inputs!F11</f>
        <v/>
      </c>
    </row>
    <row r="7">
      <c r="A7" s="12" t="inlineStr">
        <is>
          <t>EV / FY2025 revenue</t>
        </is>
      </c>
      <c r="B7" s="13">
        <f>Inputs!B11/Inputs!B14</f>
        <v/>
      </c>
      <c r="C7" s="14">
        <f>Inputs!C11/Inputs!C14</f>
        <v/>
      </c>
      <c r="D7" s="14">
        <f>Inputs!D11/Inputs!D14</f>
        <v/>
      </c>
      <c r="E7" s="14">
        <f>Inputs!E11/Inputs!E14</f>
        <v/>
      </c>
      <c r="F7" s="14">
        <f>Inputs!F11/Inputs!F14</f>
        <v/>
      </c>
    </row>
    <row r="8">
      <c r="A8" s="12" t="inlineStr">
        <is>
          <t>EV / TTM revenue</t>
        </is>
      </c>
      <c r="B8" s="13">
        <f>Inputs!B11/Inputs!B16</f>
        <v/>
      </c>
      <c r="C8" s="14">
        <f>Inputs!C11/Inputs!C16</f>
        <v/>
      </c>
      <c r="D8" s="14">
        <f>Inputs!D11/Inputs!D16</f>
        <v/>
      </c>
      <c r="E8" s="14">
        <f>Inputs!E11/Inputs!E16</f>
        <v/>
      </c>
      <c r="F8" s="14">
        <f>Inputs!F11/Inputs!F16</f>
        <v/>
      </c>
    </row>
    <row r="10">
      <c r="A10" s="12" t="inlineStr">
        <is>
          <t>Peer-set stats (excl. target QNT and memo HON)</t>
        </is>
      </c>
    </row>
    <row r="11">
      <c r="A11" s="15" t="inlineStr">
        <is>
          <t xml:space="preserve">  Median EV / FY25 revenue</t>
        </is>
      </c>
      <c r="B11" s="16">
        <f>MEDIAN(C7:E7)</f>
        <v/>
      </c>
    </row>
    <row r="12">
      <c r="A12" s="15" t="inlineStr">
        <is>
          <t xml:space="preserve">  Median EV / TTM revenue</t>
        </is>
      </c>
      <c r="B12" s="16">
        <f>MEDIAN(C8:E8)</f>
        <v/>
      </c>
    </row>
    <row r="14">
      <c r="A14" s="12" t="inlineStr">
        <is>
          <t>QNT premium / (discount) to peer median</t>
        </is>
      </c>
    </row>
    <row r="15">
      <c r="A15" s="15" t="inlineStr">
        <is>
          <t xml:space="preserve">  on FY2025 revenue</t>
        </is>
      </c>
      <c r="B15" s="17">
        <f>B7/B11-1</f>
        <v/>
      </c>
    </row>
    <row r="16">
      <c r="A16" s="15" t="inlineStr">
        <is>
          <t xml:space="preserve">  on TTM revenue</t>
        </is>
      </c>
      <c r="B16" s="17">
        <f>B8/B12-1</f>
        <v/>
      </c>
    </row>
    <row r="19">
      <c r="A19" s="12" t="inlineStr">
        <is>
          <t>Football field — implied price per QNT share</t>
        </is>
      </c>
    </row>
    <row r="20">
      <c r="A20" s="15" t="inlineStr">
        <is>
          <t xml:space="preserve">  Low (RGTI multiple ~726x; we hold rev constant)</t>
        </is>
      </c>
      <c r="B20" s="18">
        <f>(D7*Inputs!B14+Inputs!B9)/Inputs!B7</f>
        <v/>
      </c>
    </row>
    <row r="21">
      <c r="A21" s="15" t="inlineStr">
        <is>
          <t xml:space="preserve">  Mid (median peer multiple)</t>
        </is>
      </c>
      <c r="B21" s="19">
        <f>(B11*Inputs!B14+Inputs!B9)/Inputs!B7</f>
        <v/>
      </c>
    </row>
    <row r="22">
      <c r="A22" s="15" t="inlineStr">
        <is>
          <t xml:space="preserve">  High (apply QBTS multiple ~754x)</t>
        </is>
      </c>
      <c r="B22" s="18">
        <f>(E7*Inputs!B14+Inputs!B9)/Inputs!B7</f>
        <v/>
      </c>
    </row>
    <row r="23">
      <c r="A23" s="15" t="inlineStr">
        <is>
          <t xml:space="preserve">  IONQ-anchored (~120x — lowest peer)</t>
        </is>
      </c>
      <c r="B23" s="18">
        <f>(C7*Inputs!B14+Inputs!B9)/Inputs!B7</f>
        <v/>
      </c>
    </row>
    <row r="24">
      <c r="A24" s="8" t="inlineStr">
        <is>
          <t xml:space="preserve">  Current trading price</t>
        </is>
      </c>
      <c r="B24" s="20">
        <f>Inputs!B6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Operating metrics &amp; profitability</t>
        </is>
      </c>
    </row>
    <row r="3">
      <c r="A3" s="4" t="inlineStr"/>
      <c r="B3" s="5" t="inlineStr">
        <is>
          <t>QNT</t>
        </is>
      </c>
      <c r="C3" s="6" t="inlineStr">
        <is>
          <t>IONQ</t>
        </is>
      </c>
      <c r="D3" s="6" t="inlineStr">
        <is>
          <t>RGTI</t>
        </is>
      </c>
      <c r="E3" s="6" t="inlineStr">
        <is>
          <t>QBTS</t>
        </is>
      </c>
      <c r="F3" s="6" t="inlineStr">
        <is>
          <t>HON (memo)</t>
        </is>
      </c>
    </row>
    <row r="4">
      <c r="B4" s="7" t="inlineStr">
        <is>
          <t>Target</t>
        </is>
      </c>
      <c r="C4" s="7" t="inlineStr">
        <is>
          <t>Trapped-ion direct comp</t>
        </is>
      </c>
      <c r="D4" s="7" t="inlineStr">
        <is>
          <t>Superconducting</t>
        </is>
      </c>
      <c r="E4" s="7" t="inlineStr">
        <is>
          <t>Annealing (specialty)</t>
        </is>
      </c>
      <c r="F4" s="7" t="inlineStr">
        <is>
          <t>Parent — 48% post-IPO</t>
        </is>
      </c>
    </row>
    <row r="6">
      <c r="A6" s="8" t="inlineStr">
        <is>
          <t>Latest-Q non-GAAP / Adj. EBITDA ($M)</t>
        </is>
      </c>
      <c r="B6" s="21" t="n">
        <v>-130</v>
      </c>
      <c r="C6" s="22" t="n">
        <v>-96.8</v>
      </c>
      <c r="D6" s="22" t="n">
        <v>-14.7</v>
      </c>
      <c r="E6" s="22" t="n">
        <v>-18.4</v>
      </c>
      <c r="F6" s="22" t="n">
        <v>9200</v>
      </c>
    </row>
    <row r="7">
      <c r="A7" s="23" t="inlineStr">
        <is>
          <t>R&amp;D ($M, latest year)</t>
        </is>
      </c>
      <c r="B7" s="24" t="n">
        <v>165.4</v>
      </c>
      <c r="C7" s="25" t="n">
        <v>254</v>
      </c>
      <c r="D7" s="25" t="n">
        <v>35.7</v>
      </c>
      <c r="E7" s="25" t="n">
        <v>88</v>
      </c>
      <c r="F7" s="25" t="n">
        <v>1500</v>
      </c>
    </row>
    <row r="8">
      <c r="A8" s="15" t="inlineStr">
        <is>
          <t xml:space="preserve">  R&amp;D / revenue</t>
        </is>
      </c>
      <c r="B8" s="26">
        <f>B7/B14</f>
        <v/>
      </c>
      <c r="C8" s="27">
        <f>C7/C14</f>
        <v/>
      </c>
      <c r="D8" s="27">
        <f>D7/D14</f>
        <v/>
      </c>
      <c r="E8" s="27">
        <f>E7/E14</f>
        <v/>
      </c>
      <c r="F8" s="27">
        <f>F7/F14</f>
        <v/>
      </c>
    </row>
    <row r="9">
      <c r="A9" s="23" t="inlineStr">
        <is>
          <t>Cash burn (annualized FCF, $M)</t>
        </is>
      </c>
      <c r="B9" s="24" t="n">
        <v>-440</v>
      </c>
      <c r="C9" s="25" t="n">
        <v>-350</v>
      </c>
      <c r="D9" s="25" t="n">
        <v>-55</v>
      </c>
      <c r="E9" s="25" t="n">
        <v>-80</v>
      </c>
      <c r="F9" s="25" t="n">
        <v>6500</v>
      </c>
    </row>
    <row r="10">
      <c r="A10" s="12" t="inlineStr">
        <is>
          <t>Years of cash runway (cash / burn)</t>
        </is>
      </c>
      <c r="B10" s="28">
        <f>IF(B9&gt;=0,99,Inputs!B9/(-B9))</f>
        <v/>
      </c>
      <c r="C10" s="29">
        <f>IF(C9&gt;=0,99,Inputs!C9/(-C9))</f>
        <v/>
      </c>
      <c r="D10" s="29">
        <f>IF(D9&gt;=0,99,Inputs!D9/(-D9))</f>
        <v/>
      </c>
      <c r="E10" s="29">
        <f>IF(E9&gt;=0,99,Inputs!E9/(-E9))</f>
        <v/>
      </c>
      <c r="F10" s="29">
        <f>IF(F9&gt;=0,99,Inputs!F9/(-F9))</f>
        <v/>
      </c>
    </row>
    <row r="12">
      <c r="A12" s="8" t="inlineStr">
        <is>
          <t>Customer concentration (top customer % rev)</t>
        </is>
      </c>
      <c r="B12" s="30" t="n">
        <v>0.6</v>
      </c>
      <c r="C12" s="31" t="n">
        <v>0.2</v>
      </c>
      <c r="D12" s="31" t="n">
        <v>0.3</v>
      </c>
      <c r="E12" s="31" t="n">
        <v>0.15</v>
      </c>
      <c r="F12" s="31" t="n">
        <v>0.1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Quantum-computing comps — Inputs (as of June 4, 2026)</t>
        </is>
      </c>
    </row>
    <row r="3">
      <c r="A3" s="4" t="inlineStr"/>
      <c r="B3" s="5" t="inlineStr">
        <is>
          <t>QNT</t>
        </is>
      </c>
      <c r="C3" s="6" t="inlineStr">
        <is>
          <t>IONQ</t>
        </is>
      </c>
      <c r="D3" s="6" t="inlineStr">
        <is>
          <t>RGTI</t>
        </is>
      </c>
      <c r="E3" s="6" t="inlineStr">
        <is>
          <t>QBTS</t>
        </is>
      </c>
      <c r="F3" s="6" t="inlineStr">
        <is>
          <t>HON (memo)</t>
        </is>
      </c>
    </row>
    <row r="4">
      <c r="B4" s="7" t="inlineStr">
        <is>
          <t>Target</t>
        </is>
      </c>
      <c r="C4" s="7" t="inlineStr">
        <is>
          <t>Trapped-ion direct comp</t>
        </is>
      </c>
      <c r="D4" s="7" t="inlineStr">
        <is>
          <t>Superconducting</t>
        </is>
      </c>
      <c r="E4" s="7" t="inlineStr">
        <is>
          <t>Annealing (specialty)</t>
        </is>
      </c>
      <c r="F4" s="7" t="inlineStr">
        <is>
          <t>Parent — 48% post-IPO</t>
        </is>
      </c>
    </row>
    <row r="6">
      <c r="A6" s="8" t="inlineStr">
        <is>
          <t>Share price ($, Jun 3-4 2026)</t>
        </is>
      </c>
      <c r="B6" s="32" t="n">
        <v>68</v>
      </c>
      <c r="C6" s="33" t="n">
        <v>68.20999999999999</v>
      </c>
      <c r="D6" s="33" t="n">
        <v>24.1</v>
      </c>
      <c r="E6" s="33" t="n">
        <v>27.09</v>
      </c>
      <c r="F6" s="33" t="n">
        <v>213</v>
      </c>
    </row>
    <row r="7">
      <c r="A7" s="8" t="inlineStr">
        <is>
          <t>Shares outstanding (M, fully diluted)</t>
        </is>
      </c>
      <c r="B7" s="21" t="n">
        <v>253.9</v>
      </c>
      <c r="C7" s="22" t="n">
        <v>373.2</v>
      </c>
      <c r="D7" s="22" t="n">
        <v>325</v>
      </c>
      <c r="E7" s="22" t="n">
        <v>369.9</v>
      </c>
      <c r="F7" s="22" t="n">
        <v>650</v>
      </c>
    </row>
    <row r="8">
      <c r="A8" s="8" t="inlineStr">
        <is>
          <t>Market cap ($M)</t>
        </is>
      </c>
      <c r="B8" s="10">
        <f>B6*B7</f>
        <v/>
      </c>
      <c r="C8" s="11">
        <f>C6*C7</f>
        <v/>
      </c>
      <c r="D8" s="11">
        <f>D6*D7</f>
        <v/>
      </c>
      <c r="E8" s="11">
        <f>E6*E7</f>
        <v/>
      </c>
      <c r="F8" s="11">
        <f>F6*F7</f>
        <v/>
      </c>
    </row>
    <row r="9">
      <c r="A9" s="23" t="inlineStr">
        <is>
          <t>Cash &amp; investments ($M)</t>
        </is>
      </c>
      <c r="B9" s="24" t="n">
        <v>2080</v>
      </c>
      <c r="C9" s="25" t="n">
        <v>3100</v>
      </c>
      <c r="D9" s="25" t="n">
        <v>569</v>
      </c>
      <c r="E9" s="25" t="n">
        <v>588</v>
      </c>
      <c r="F9" s="25" t="n">
        <v>11000</v>
      </c>
    </row>
    <row r="10">
      <c r="A10" s="23" t="inlineStr">
        <is>
          <t>Debt ($M)</t>
        </is>
      </c>
      <c r="B10" s="24" t="n">
        <v>0</v>
      </c>
      <c r="C10" s="25" t="n">
        <v>0</v>
      </c>
      <c r="D10" s="25" t="n">
        <v>0</v>
      </c>
      <c r="E10" s="25" t="n">
        <v>0</v>
      </c>
      <c r="F10" s="25" t="n">
        <v>22000</v>
      </c>
    </row>
    <row r="11">
      <c r="A11" s="8" t="inlineStr">
        <is>
          <t>Enterprise value ($M)</t>
        </is>
      </c>
      <c r="B11" s="10">
        <f>B8-B9+B10</f>
        <v/>
      </c>
      <c r="C11" s="11">
        <f>C8-C9+C10</f>
        <v/>
      </c>
      <c r="D11" s="11">
        <f>D8-D9+D10</f>
        <v/>
      </c>
      <c r="E11" s="11">
        <f>E8-E9+E10</f>
        <v/>
      </c>
      <c r="F11" s="11">
        <f>F8-F9+F10</f>
        <v/>
      </c>
    </row>
    <row r="13">
      <c r="A13" s="12" t="inlineStr">
        <is>
          <t>Revenue</t>
        </is>
      </c>
    </row>
    <row r="14">
      <c r="A14" s="23" t="inlineStr">
        <is>
          <t xml:space="preserve">  FY 2025 revenue ($M)</t>
        </is>
      </c>
      <c r="B14" s="21" t="n">
        <v>30.9</v>
      </c>
      <c r="C14" s="22" t="n">
        <v>130</v>
      </c>
      <c r="D14" s="22" t="n">
        <v>7.1</v>
      </c>
      <c r="E14" s="22" t="n">
        <v>24.6</v>
      </c>
      <c r="F14" s="22" t="n">
        <v>38500</v>
      </c>
    </row>
    <row r="15">
      <c r="A15" s="23" t="inlineStr">
        <is>
          <t xml:space="preserve">  Q1 2026 revenue ($M)</t>
        </is>
      </c>
      <c r="B15" s="21" t="n">
        <v>5.2</v>
      </c>
      <c r="C15" s="22" t="n">
        <v>64.7</v>
      </c>
      <c r="D15" s="22" t="n">
        <v>4.4</v>
      </c>
      <c r="E15" s="22" t="n">
        <v>2.9</v>
      </c>
      <c r="F15" s="22" t="n">
        <v>9600</v>
      </c>
    </row>
    <row r="16">
      <c r="A16" s="8" t="inlineStr">
        <is>
          <t xml:space="preserve">  TTM revenue ($M, est.)</t>
        </is>
      </c>
      <c r="B16" s="21" t="n">
        <v>32.6</v>
      </c>
      <c r="C16" s="22" t="n">
        <v>187.1</v>
      </c>
      <c r="D16" s="22" t="n">
        <v>10</v>
      </c>
      <c r="E16" s="22" t="n">
        <v>12.5</v>
      </c>
      <c r="F16" s="22" t="n">
        <v>38500</v>
      </c>
    </row>
    <row r="18">
      <c r="A18" s="8" t="inlineStr">
        <is>
          <t>Most recent quarter YoY growth</t>
        </is>
      </c>
      <c r="B18" s="30" t="n">
        <v>-0.13</v>
      </c>
      <c r="C18" s="31" t="n">
        <v>7.55</v>
      </c>
      <c r="D18" s="31" t="n">
        <v>1.99</v>
      </c>
      <c r="E18" s="31" t="n">
        <v>-0.8100000000000001</v>
      </c>
      <c r="F18" s="31" t="n">
        <v>0.04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2026-06-04T20:01:08Z</dcterms:created>
  <dcterms:modified xmlns:dcterms="http://purl.org/dc/terms/" xmlns:xsi="http://www.w3.org/2001/XMLSchema-instance" xsi:type="dcterms:W3CDTF">2026-06-04T20:01:08Z</dcterms:modified>
</cp:coreProperties>
</file>
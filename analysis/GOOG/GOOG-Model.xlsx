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rs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DCF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$&quot;#,##0.00"/>
    <numFmt numFmtId="166" formatCode="0.000"/>
  </numFmts>
  <fonts count="7">
    <font>
      <name val="Calibri"/>
      <family val="2"/>
      <color theme="1"/>
      <sz val="11"/>
      <scheme val="minor"/>
    </font>
    <font>
      <name val="Times New Roman"/>
      <b val="1"/>
      <color rgb="00FFFFFF"/>
      <sz val="12"/>
    </font>
    <font>
      <name val="Times New Roman"/>
      <i val="1"/>
      <color rgb="00595959"/>
      <sz val="10"/>
    </font>
    <font>
      <name val="Times New Roman"/>
      <b val="1"/>
      <color rgb="0017365D"/>
      <sz val="11"/>
    </font>
    <font>
      <name val="Times New Roman"/>
      <color rgb="00000000"/>
      <sz val="11"/>
    </font>
    <font>
      <name val="Times New Roman"/>
      <b val="1"/>
      <sz val="11"/>
    </font>
    <font>
      <name val="Times New Roman"/>
      <color rgb="000000FF"/>
      <sz val="1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3" fontId="3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4" fillId="0" borderId="0" pivotButton="0" quotePrefix="0" xfId="0"/>
    <xf numFmtId="165" fontId="6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/>
    </xf>
    <xf numFmtId="0" fontId="3" fillId="0" borderId="0" pivotButton="0" quotePrefix="0" xfId="0"/>
    <xf numFmtId="164" fontId="3" fillId="4" borderId="0" applyAlignment="1" pivotButton="0" quotePrefix="0" xfId="0">
      <alignment horizontal="center" vertical="center"/>
    </xf>
    <xf numFmtId="3" fontId="3" fillId="4" borderId="0" applyAlignment="1" pivotButton="0" quotePrefix="0" xfId="0">
      <alignment horizontal="center" vertical="center"/>
    </xf>
    <xf numFmtId="0" fontId="3" fillId="3" borderId="0" pivotButton="0" quotePrefix="0" xfId="0"/>
    <xf numFmtId="166" fontId="4" fillId="0" borderId="0" applyAlignment="1" pivotButton="0" quotePrefix="0" xfId="0">
      <alignment horizontal="center" vertical="center"/>
    </xf>
    <xf numFmtId="165" fontId="3" fillId="5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4" fontId="3" fillId="3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GOOG model</author>
  </authors>
  <commentList>
    <comment ref="C6" authorId="0" shapeId="0">
      <text>
        <t>[E] FY23 Services ~$272.5B (per 10-K)</t>
      </text>
    </comment>
    <comment ref="D6" authorId="0" shapeId="0">
      <text>
        <t>[E] FY24 Services ~$304.9B</t>
      </text>
    </comment>
    <comment ref="E6" authorId="0" shapeId="0">
      <text>
        <t>FY25 Services $342.7B (per FY25 10-K segment disclosure)</t>
      </text>
    </comment>
    <comment ref="F6" authorId="0" shapeId="0">
      <text>
        <t>[E] Services +13-15%: Search resilient w/ AI Overviews, YouTube ads, Subscription growth; reflects Q1 26 +16%</t>
      </text>
    </comment>
    <comment ref="G6" authorId="0" shapeId="0">
      <text>
        <t>[E] Services +13-15%: Search resilient w/ AI Overviews, YouTube ads, Subscription growth; reflects Q1 26 +16%</t>
      </text>
    </comment>
    <comment ref="H6" authorId="0" shapeId="0">
      <text>
        <t>[E] Services +13-15%: Search resilient w/ AI Overviews, YouTube ads, Subscription growth; reflects Q1 26 +16%</t>
      </text>
    </comment>
    <comment ref="I6" authorId="0" shapeId="0">
      <text>
        <t>[E] Services +13-15%: Search resilient w/ AI Overviews, YouTube ads, Subscription growth; reflects Q1 26 +16%</t>
      </text>
    </comment>
    <comment ref="J6" authorId="0" shapeId="0">
      <text>
        <t>[E] Services +13-15%: Search resilient w/ AI Overviews, YouTube ads, Subscription growth; reflects Q1 26 +16%</t>
      </text>
    </comment>
    <comment ref="C7" authorId="0" shapeId="0">
      <text>
        <t>FY23 Cloud $33.1B (first profitable year, +26%)</t>
      </text>
    </comment>
    <comment ref="D7" authorId="0" shapeId="0">
      <text>
        <t>[E] FY24 Cloud ~$43.2B (+31%)</t>
      </text>
    </comment>
    <comment ref="E7" authorId="0" shapeId="0">
      <text>
        <t>FY25 Cloud $58.7B (+36%)</t>
      </text>
    </comment>
    <comment ref="F7" authorId="0" shapeId="0">
      <text>
        <t>[E] Cloud trajectory: $58.7B (FY25) → $92B (+57%) FY26 / $266B (FY30); Q1 26 was +63%; $460B backlog supports</t>
      </text>
    </comment>
    <comment ref="G7" authorId="0" shapeId="0">
      <text>
        <t>[E] Cloud trajectory: $58.7B (FY25) → $92B (+57%) FY26 / $266B (FY30); Q1 26 was +63%; $460B backlog supports</t>
      </text>
    </comment>
    <comment ref="H7" authorId="0" shapeId="0">
      <text>
        <t>[E] Cloud trajectory: $58.7B (FY25) → $92B (+57%) FY26 / $266B (FY30); Q1 26 was +63%; $460B backlog supports</t>
      </text>
    </comment>
    <comment ref="I7" authorId="0" shapeId="0">
      <text>
        <t>[E] Cloud trajectory: $58.7B (FY25) → $92B (+57%) FY26 / $266B (FY30); Q1 26 was +63%; $460B backlog supports</t>
      </text>
    </comment>
    <comment ref="J7" authorId="0" shapeId="0">
      <text>
        <t>[E] Cloud trajectory: $58.7B (FY25) → $92B (+57%) FY26 / $266B (FY30); Q1 26 was +63%; $460B backlog supports</t>
      </text>
    </comment>
    <comment ref="C8" authorId="0" shapeId="0">
      <text>
        <t>[E] FY23 Other Bets ~$1.5B</t>
      </text>
    </comment>
    <comment ref="D8" authorId="0" shapeId="0">
      <text>
        <t>[E] FY24 Other Bets ~$1.5B</t>
      </text>
    </comment>
    <comment ref="E8" authorId="0" shapeId="0">
      <text>
        <t>FY25 Other Bets $1.537B (per FY25 10-K)</t>
      </text>
    </comment>
    <comment ref="F8" authorId="0" shapeId="0">
      <text>
        <t>[E] Other Bets modest; Waymo not yet material-revenue</t>
      </text>
    </comment>
    <comment ref="G8" authorId="0" shapeId="0">
      <text>
        <t>[E] Other Bets modest; Waymo not yet material-revenue</t>
      </text>
    </comment>
    <comment ref="H8" authorId="0" shapeId="0">
      <text>
        <t>[E] Other Bets modest; Waymo not yet material-revenue</t>
      </text>
    </comment>
    <comment ref="I8" authorId="0" shapeId="0">
      <text>
        <t>[E] Other Bets modest; Waymo not yet material-revenue</t>
      </text>
    </comment>
    <comment ref="J8" authorId="0" shapeId="0">
      <text>
        <t>[E] Other Bets modest; Waymo not yet material-revenue</t>
      </text>
    </comment>
    <comment ref="C14" authorId="0" shapeId="0">
      <text>
        <t>[E] Services op margin ~45% (Search-heavy mix)</t>
      </text>
    </comment>
    <comment ref="D14" authorId="0" shapeId="0">
      <text>
        <t>[E] Services op margin ~45% (Search-heavy mix)</t>
      </text>
    </comment>
    <comment ref="E14" authorId="0" shapeId="0">
      <text>
        <t>[E] Services op margin ~45% (Search-heavy mix)</t>
      </text>
    </comment>
    <comment ref="F14" authorId="0" shapeId="0">
      <text>
        <t>[E] Services op margin ~45% (Search-heavy mix)</t>
      </text>
    </comment>
    <comment ref="G14" authorId="0" shapeId="0">
      <text>
        <t>[E] Services op margin ~45% (Search-heavy mix)</t>
      </text>
    </comment>
    <comment ref="H14" authorId="0" shapeId="0">
      <text>
        <t>[E] Services op margin ~45% (Search-heavy mix)</t>
      </text>
    </comment>
    <comment ref="I14" authorId="0" shapeId="0">
      <text>
        <t>[E] Services op margin ~45% (Search-heavy mix)</t>
      </text>
    </comment>
    <comment ref="J14" authorId="0" shapeId="0">
      <text>
        <t>[E] Services op margin ~45% (Search-heavy mix)</t>
      </text>
    </comment>
    <comment ref="C15" authorId="0" shapeId="0">
      <text>
        <t>[E] Cloud margin: 5%(23)-&gt;14%(24)-&gt;24%(25)-&gt;30%(26)-&gt;36%(30); Q1 26 was 32.9%</t>
      </text>
    </comment>
    <comment ref="D15" authorId="0" shapeId="0">
      <text>
        <t>[E] Cloud margin: 5%(23)-&gt;14%(24)-&gt;24%(25)-&gt;30%(26)-&gt;36%(30); Q1 26 was 32.9%</t>
      </text>
    </comment>
    <comment ref="E15" authorId="0" shapeId="0">
      <text>
        <t>[E] Cloud margin: 5%(23)-&gt;14%(24)-&gt;24%(25)-&gt;30%(26)-&gt;36%(30); Q1 26 was 32.9%</t>
      </text>
    </comment>
    <comment ref="F15" authorId="0" shapeId="0">
      <text>
        <t>[E] Cloud margin: 5%(23)-&gt;14%(24)-&gt;24%(25)-&gt;30%(26)-&gt;36%(30); Q1 26 was 32.9%</t>
      </text>
    </comment>
    <comment ref="G15" authorId="0" shapeId="0">
      <text>
        <t>[E] Cloud margin: 5%(23)-&gt;14%(24)-&gt;24%(25)-&gt;30%(26)-&gt;36%(30); Q1 26 was 32.9%</t>
      </text>
    </comment>
    <comment ref="H15" authorId="0" shapeId="0">
      <text>
        <t>[E] Cloud margin: 5%(23)-&gt;14%(24)-&gt;24%(25)-&gt;30%(26)-&gt;36%(30); Q1 26 was 32.9%</t>
      </text>
    </comment>
    <comment ref="I15" authorId="0" shapeId="0">
      <text>
        <t>[E] Cloud margin: 5%(23)-&gt;14%(24)-&gt;24%(25)-&gt;30%(26)-&gt;36%(30); Q1 26 was 32.9%</t>
      </text>
    </comment>
    <comment ref="J15" authorId="0" shapeId="0">
      <text>
        <t>[E] Cloud margin: 5%(23)-&gt;14%(24)-&gt;24%(25)-&gt;30%(26)-&gt;36%(30); Q1 26 was 32.9%</t>
      </text>
    </comment>
    <comment ref="C16" authorId="0" shapeId="0">
      <text>
        <t>[E] Other Bets loss/rev ratio improving as Waymo monetizes</t>
      </text>
    </comment>
    <comment ref="D16" authorId="0" shapeId="0">
      <text>
        <t>[E] Other Bets loss/rev ratio improving as Waymo monetizes</t>
      </text>
    </comment>
    <comment ref="E16" authorId="0" shapeId="0">
      <text>
        <t>[E] Other Bets loss/rev ratio improving as Waymo monetizes</t>
      </text>
    </comment>
    <comment ref="F16" authorId="0" shapeId="0">
      <text>
        <t>[E] Other Bets loss/rev ratio improving as Waymo monetizes</t>
      </text>
    </comment>
    <comment ref="G16" authorId="0" shapeId="0">
      <text>
        <t>[E] Other Bets loss/rev ratio improving as Waymo monetizes</t>
      </text>
    </comment>
    <comment ref="H16" authorId="0" shapeId="0">
      <text>
        <t>[E] Other Bets loss/rev ratio improving as Waymo monetizes</t>
      </text>
    </comment>
    <comment ref="I16" authorId="0" shapeId="0">
      <text>
        <t>[E] Other Bets loss/rev ratio improving as Waymo monetizes</t>
      </text>
    </comment>
    <comment ref="J16" authorId="0" shapeId="0">
      <text>
        <t>[E] Other Bets loss/rev ratio improving as Waymo monetizes</t>
      </text>
    </comment>
    <comment ref="C17" authorId="0" shapeId="0">
      <text>
        <t>[E] Corporate unallocated costs scale with size</t>
      </text>
    </comment>
    <comment ref="D17" authorId="0" shapeId="0">
      <text>
        <t>[E] Corporate unallocated costs scale with size</t>
      </text>
    </comment>
    <comment ref="E17" authorId="0" shapeId="0">
      <text>
        <t>[E] Corporate unallocated costs scale with size</t>
      </text>
    </comment>
    <comment ref="F17" authorId="0" shapeId="0">
      <text>
        <t>[E] Corporate unallocated costs scale with size</t>
      </text>
    </comment>
    <comment ref="G17" authorId="0" shapeId="0">
      <text>
        <t>[E] Corporate unallocated costs scale with size</t>
      </text>
    </comment>
    <comment ref="H17" authorId="0" shapeId="0">
      <text>
        <t>[E] Corporate unallocated costs scale with size</t>
      </text>
    </comment>
    <comment ref="I17" authorId="0" shapeId="0">
      <text>
        <t>[E] Corporate unallocated costs scale with size</t>
      </text>
    </comment>
    <comment ref="J17" authorId="0" shapeId="0">
      <text>
        <t>[E] Corporate unallocated costs scale with size</t>
      </text>
    </comment>
    <comment ref="C23" authorId="0" shapeId="0">
      <text>
        <t>[E] D&amp;A ramps with AI infra capex with ~2-3yr lag; F-J reflect $92B FY25 + $180-190B FY26 ramp</t>
      </text>
    </comment>
    <comment ref="D23" authorId="0" shapeId="0">
      <text>
        <t>[E] D&amp;A ramps with AI infra capex with ~2-3yr lag; F-J reflect $92B FY25 + $180-190B FY26 ramp</t>
      </text>
    </comment>
    <comment ref="E23" authorId="0" shapeId="0">
      <text>
        <t>[E] D&amp;A ramps with AI infra capex with ~2-3yr lag; F-J reflect $92B FY25 + $180-190B FY26 ramp</t>
      </text>
    </comment>
    <comment ref="F23" authorId="0" shapeId="0">
      <text>
        <t>[E] D&amp;A ramps with AI infra capex with ~2-3yr lag; F-J reflect $92B FY25 + $180-190B FY26 ramp</t>
      </text>
    </comment>
    <comment ref="G23" authorId="0" shapeId="0">
      <text>
        <t>[E] D&amp;A ramps with AI infra capex with ~2-3yr lag; F-J reflect $92B FY25 + $180-190B FY26 ramp</t>
      </text>
    </comment>
    <comment ref="H23" authorId="0" shapeId="0">
      <text>
        <t>[E] D&amp;A ramps with AI infra capex with ~2-3yr lag; F-J reflect $92B FY25 + $180-190B FY26 ramp</t>
      </text>
    </comment>
    <comment ref="I23" authorId="0" shapeId="0">
      <text>
        <t>[E] D&amp;A ramps with AI infra capex with ~2-3yr lag; F-J reflect $92B FY25 + $180-190B FY26 ramp</t>
      </text>
    </comment>
    <comment ref="J23" authorId="0" shapeId="0">
      <text>
        <t>[E] D&amp;A ramps with AI infra capex with ~2-3yr lag; F-J reflect $92B FY25 + $180-190B FY26 ramp</t>
      </text>
    </comment>
    <comment ref="C24" authorId="0" shapeId="0">
      <text>
        <t>FY23 $32B / FY24 $52B / FY25 ~$92B / FY26 guide $180-190B (back-end loaded); model assumes plateau then taper</t>
      </text>
    </comment>
    <comment ref="D24" authorId="0" shapeId="0">
      <text>
        <t>FY23 $32B / FY24 $52B / FY25 ~$92B / FY26 guide $180-190B (back-end loaded); model assumes plateau then taper</t>
      </text>
    </comment>
    <comment ref="E24" authorId="0" shapeId="0">
      <text>
        <t>FY23 $32B / FY24 $52B / FY25 ~$92B / FY26 guide $180-190B (back-end loaded); model assumes plateau then taper</t>
      </text>
    </comment>
    <comment ref="F24" authorId="0" shapeId="0">
      <text>
        <t>FY23 $32B / FY24 $52B / FY25 ~$92B / FY26 guide $180-190B (back-end loaded); model assumes plateau then taper</t>
      </text>
    </comment>
    <comment ref="G24" authorId="0" shapeId="0">
      <text>
        <t>FY23 $32B / FY24 $52B / FY25 ~$92B / FY26 guide $180-190B (back-end loaded); model assumes plateau then taper</t>
      </text>
    </comment>
    <comment ref="H24" authorId="0" shapeId="0">
      <text>
        <t>FY23 $32B / FY24 $52B / FY25 ~$92B / FY26 guide $180-190B (back-end loaded); model assumes plateau then taper</t>
      </text>
    </comment>
    <comment ref="I24" authorId="0" shapeId="0">
      <text>
        <t>FY23 $32B / FY24 $52B / FY25 ~$92B / FY26 guide $180-190B (back-end loaded); model assumes plateau then taper</t>
      </text>
    </comment>
    <comment ref="J24" authorId="0" shapeId="0">
      <text>
        <t>FY23 $32B / FY24 $52B / FY25 ~$92B / FY26 guide $180-190B (back-end loaded); model assumes plateau then taper</t>
      </text>
    </comment>
    <comment ref="C25" authorId="0" shapeId="0">
      <text>
        <t>[E] Cash tax rate ~16-21% (GILTI + state); rising as int'l rules tighten</t>
      </text>
    </comment>
    <comment ref="D25" authorId="0" shapeId="0">
      <text>
        <t>[E] Cash tax rate ~16-21% (GILTI + state); rising as int'l rules tighten</t>
      </text>
    </comment>
    <comment ref="E25" authorId="0" shapeId="0">
      <text>
        <t>[E] Cash tax rate ~16-21% (GILTI + state); rising as int'l rules tighten</t>
      </text>
    </comment>
    <comment ref="F25" authorId="0" shapeId="0">
      <text>
        <t>[E] Cash tax rate ~16-21% (GILTI + state); rising as int'l rules tighten</t>
      </text>
    </comment>
    <comment ref="G25" authorId="0" shapeId="0">
      <text>
        <t>[E] Cash tax rate ~16-21% (GILTI + state); rising as int'l rules tighten</t>
      </text>
    </comment>
    <comment ref="H25" authorId="0" shapeId="0">
      <text>
        <t>[E] Cash tax rate ~16-21% (GILTI + state); rising as int'l rules tighten</t>
      </text>
    </comment>
    <comment ref="I25" authorId="0" shapeId="0">
      <text>
        <t>[E] Cash tax rate ~16-21% (GILTI + state); rising as int'l rules tighten</t>
      </text>
    </comment>
    <comment ref="J25" authorId="0" shapeId="0">
      <text>
        <t>[E] Cash tax rate ~16-21% (GILTI + state); rising as int'l rules tighten</t>
      </text>
    </comment>
    <comment ref="C26" authorId="0" shapeId="0">
      <text>
        <t>[E] NWC growth modest (large AR/AP balances)</t>
      </text>
    </comment>
    <comment ref="D26" authorId="0" shapeId="0">
      <text>
        <t>[E] NWC growth modest (large AR/AP balances)</t>
      </text>
    </comment>
    <comment ref="E26" authorId="0" shapeId="0">
      <text>
        <t>[E] NWC growth modest (large AR/AP balances)</t>
      </text>
    </comment>
    <comment ref="F26" authorId="0" shapeId="0">
      <text>
        <t>[E] NWC growth modest (large AR/AP balances)</t>
      </text>
    </comment>
    <comment ref="G26" authorId="0" shapeId="0">
      <text>
        <t>[E] NWC growth modest (large AR/AP balances)</t>
      </text>
    </comment>
    <comment ref="H26" authorId="0" shapeId="0">
      <text>
        <t>[E] NWC growth modest (large AR/AP balances)</t>
      </text>
    </comment>
    <comment ref="I26" authorId="0" shapeId="0">
      <text>
        <t>[E] NWC growth modest (large AR/AP balances)</t>
      </text>
    </comment>
    <comment ref="J26" authorId="0" shapeId="0">
      <text>
        <t>[E] NWC growth modest (large AR/AP balances)</t>
      </text>
    </comment>
    <comment ref="C29" authorId="0" shapeId="0">
      <text>
        <t>GOOGL ~$357.73 (June 3, 2026)</t>
      </text>
    </comment>
    <comment ref="C30" authorId="0" shapeId="0">
      <text>
        <t>~12.12B diluted shares (Class A + Class B + Class C)</t>
      </text>
    </comment>
    <comment ref="C31" authorId="0" shapeId="0">
      <text>
        <t>LT debt $46.5B Q1 26 (after $31.1B Q1 senior notes)</t>
      </text>
    </comment>
    <comment ref="C32" authorId="0" shapeId="0">
      <text>
        <t>Cash $30.7B + marketable sec $96.1B = $126.8B (Q1 26)</t>
      </text>
    </comment>
    <comment ref="C33" authorId="0" shapeId="0">
      <text>
        <t>[E] 10-yr UST ~4.3%</t>
      </text>
    </comment>
    <comment ref="C34" authorId="0" shapeId="0">
      <text>
        <t>[E] ERP ~5.0%</t>
      </text>
    </comment>
    <comment ref="C35" authorId="0" shapeId="0">
      <text>
        <t>[E] GOOG beta ~1.0 (5-yr levered)</t>
      </text>
    </comment>
    <comment ref="C36" authorId="0" shapeId="0">
      <text>
        <t>[E] GOOG investment-grade Kd ~4.5%</t>
      </text>
    </comment>
    <comment ref="C37" authorId="0" shapeId="0">
      <text>
        <t>[E] BASE terminal growth 3.0% (large-cap tech, secular AI tailwind)</t>
      </text>
    </comment>
  </commentList>
</comments>
</file>

<file path=xl/comments/comment2.xml><?xml version="1.0" encoding="utf-8"?>
<comments xmlns="http://schemas.openxmlformats.org/spreadsheetml/2006/main">
  <authors>
    <author>GOOG model</author>
  </authors>
  <commentList>
    <comment ref="C10" authorId="0" shapeId="0">
      <text>
        <t>[E] FY23 interest income net of expense ~+$3B (income, not expense)</t>
      </text>
    </comment>
    <comment ref="D10" authorId="0" shapeId="0">
      <text>
        <t>[E] FY24 net interest income ~$4B</t>
      </text>
    </comment>
    <comment ref="E10" authorId="0" shapeId="0">
      <text>
        <t>[E] FY25 net interest income ~$5B</t>
      </text>
    </comment>
  </commentList>
</comments>
</file>

<file path=xl/comments/comment3.xml><?xml version="1.0" encoding="utf-8"?>
<comments xmlns="http://schemas.openxmlformats.org/spreadsheetml/2006/main">
  <authors>
    <author>GOOG model</author>
  </authors>
  <commentList>
    <comment ref="C5" authorId="0" shapeId="0">
      <text>
        <t>[E] FY23 cash+sec ~$111B</t>
      </text>
    </comment>
    <comment ref="D5" authorId="0" shapeId="0">
      <text>
        <t>[E] FY24 ~$95.7B</t>
      </text>
    </comment>
    <comment ref="E5" authorId="0" shapeId="0">
      <text>
        <t>[E] FY25 / Q1 26 $126.8B (post $31B Q1 raise)</t>
      </text>
    </comment>
    <comment ref="C7" authorId="0" shapeId="0">
      <text>
        <t>[E] FY23 LT debt ~$13.3B</t>
      </text>
    </comment>
    <comment ref="D7" authorId="0" shapeId="0">
      <text>
        <t>[E] FY24 LT debt ~$10.9B</t>
      </text>
    </comment>
    <comment ref="E7" authorId="0" shapeId="0">
      <text>
        <t>FY25/Q1 26 LT debt $46.5B (after $31B Q1 senior notes)</t>
      </text>
    </comment>
    <comment ref="C8" authorId="0" shapeId="0">
      <text>
        <t>[E] FY23 equity ~$283.4B</t>
      </text>
    </comment>
    <comment ref="D8" authorId="0" shapeId="0">
      <text>
        <t>[E] FY24 equity ~$325B</t>
      </text>
    </comment>
    <comment ref="E8" authorId="0" shapeId="0">
      <text>
        <t>[E] FY25 equity ~$365B</t>
      </text>
    </comment>
    <comment ref="F10" authorId="0" shapeId="0">
      <text>
        <t>FY26 ~$85B June equity raise (Berkshire pp + ATM + common)</t>
      </text>
    </comment>
    <comment ref="G10" authorId="0" shapeId="0">
      <text>
        <t>[E] no further raise</t>
      </text>
    </comment>
    <comment ref="H10" authorId="0" shapeId="0">
      <text>
        <t/>
      </text>
    </comment>
    <comment ref="I10" authorId="0" shapeId="0">
      <text>
        <t/>
      </text>
    </comment>
    <comment ref="J10" authorId="0" shapeId="0">
      <text>
        <t/>
      </text>
    </comment>
    <comment ref="F11" authorId="0" shapeId="0">
      <text>
        <t>[E] FY26 buyback ~$45B + div ~$10B = $55B (declining as capex absorbs cash)</t>
      </text>
    </comment>
    <comment ref="G11" authorId="0" shapeId="0">
      <text>
        <t>[E] FY27 normalizing</t>
      </text>
    </comment>
    <comment ref="H11" authorId="0" shapeId="0">
      <text>
        <t>[E] FY28</t>
      </text>
    </comment>
    <comment ref="I11" authorId="0" shapeId="0">
      <text>
        <t>[E] FY29</t>
      </text>
    </comment>
    <comment ref="J11" authorId="0" shapeId="0">
      <text>
        <t>[E] FY30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ALPHABET (GOOG/GOOGL) — INTEGRATED MODEL: DRIVERS &amp; ASSUMPTIONS</t>
        </is>
      </c>
    </row>
    <row r="2">
      <c r="A2" s="2" t="inlineStr">
        <is>
          <t>As of June 3, 2026 | $M unless noted | Blue=input, Black=formula | Calendar fiscal year</t>
        </is>
      </c>
    </row>
    <row r="4">
      <c r="A4" s="1" t="inlineStr">
        <is>
          <t>SEGMENT REVENUE BUILD ($M)</t>
        </is>
      </c>
    </row>
    <row r="5">
      <c r="A5" s="3" t="inlineStr">
        <is>
          <t>($ in millions)</t>
        </is>
      </c>
      <c r="C5" s="4" t="inlineStr">
        <is>
          <t>FY2023A</t>
        </is>
      </c>
      <c r="D5" s="4" t="inlineStr">
        <is>
          <t>FY2024A</t>
        </is>
      </c>
      <c r="E5" s="4" t="inlineStr">
        <is>
          <t>FY2025A</t>
        </is>
      </c>
      <c r="F5" s="4" t="inlineStr">
        <is>
          <t>FY2026E</t>
        </is>
      </c>
      <c r="G5" s="4" t="inlineStr">
        <is>
          <t>FY2027E</t>
        </is>
      </c>
      <c r="H5" s="4" t="inlineStr">
        <is>
          <t>FY2028E</t>
        </is>
      </c>
      <c r="I5" s="4" t="inlineStr">
        <is>
          <t>FY2029E</t>
        </is>
      </c>
      <c r="J5" s="4" t="inlineStr">
        <is>
          <t>FY2030E</t>
        </is>
      </c>
    </row>
    <row r="6">
      <c r="A6" s="5" t="inlineStr">
        <is>
          <t xml:space="preserve">  Google Services (Search, YouTube, Other)</t>
        </is>
      </c>
      <c r="C6" s="6" t="n">
        <v>272500</v>
      </c>
      <c r="D6" s="6" t="n">
        <v>304922</v>
      </c>
      <c r="E6" s="6" t="n">
        <v>342700</v>
      </c>
      <c r="F6" s="6" t="n">
        <v>393100</v>
      </c>
      <c r="G6" s="6" t="n">
        <v>432400</v>
      </c>
      <c r="H6" s="6" t="n">
        <v>471300</v>
      </c>
      <c r="I6" s="6" t="n">
        <v>509000</v>
      </c>
      <c r="J6" s="6" t="n">
        <v>545600</v>
      </c>
    </row>
    <row r="7">
      <c r="A7" s="5" t="inlineStr">
        <is>
          <t xml:space="preserve">  Google Cloud</t>
        </is>
      </c>
      <c r="C7" s="6" t="n">
        <v>33088</v>
      </c>
      <c r="D7" s="6" t="n">
        <v>43200</v>
      </c>
      <c r="E7" s="6" t="n">
        <v>58700</v>
      </c>
      <c r="F7" s="6" t="n">
        <v>92000</v>
      </c>
      <c r="G7" s="6" t="n">
        <v>132000</v>
      </c>
      <c r="H7" s="6" t="n">
        <v>178000</v>
      </c>
      <c r="I7" s="6" t="n">
        <v>222000</v>
      </c>
      <c r="J7" s="6" t="n">
        <v>266000</v>
      </c>
    </row>
    <row r="8">
      <c r="A8" s="5" t="inlineStr">
        <is>
          <t xml:space="preserve">  Other Bets (Waymo etc.)</t>
        </is>
      </c>
      <c r="C8" s="6" t="n">
        <v>1527</v>
      </c>
      <c r="D8" s="6" t="n">
        <v>1539</v>
      </c>
      <c r="E8" s="6" t="n">
        <v>1537</v>
      </c>
      <c r="F8" s="6" t="n">
        <v>1800</v>
      </c>
      <c r="G8" s="6" t="n">
        <v>2100</v>
      </c>
      <c r="H8" s="6" t="n">
        <v>2500</v>
      </c>
      <c r="I8" s="6" t="n">
        <v>3000</v>
      </c>
      <c r="J8" s="6" t="n">
        <v>3600</v>
      </c>
    </row>
    <row r="9">
      <c r="A9" s="7" t="inlineStr">
        <is>
          <t>Total revenue</t>
        </is>
      </c>
      <c r="C9" s="8">
        <f>SUM(C6:C8)</f>
        <v/>
      </c>
      <c r="D9" s="8">
        <f>SUM(D6:D8)</f>
        <v/>
      </c>
      <c r="E9" s="8">
        <f>SUM(E6:E8)</f>
        <v/>
      </c>
      <c r="F9" s="8">
        <f>SUM(F6:F8)</f>
        <v/>
      </c>
      <c r="G9" s="8">
        <f>SUM(G6:G8)</f>
        <v/>
      </c>
      <c r="H9" s="8">
        <f>SUM(H6:H8)</f>
        <v/>
      </c>
      <c r="I9" s="8">
        <f>SUM(I6:I8)</f>
        <v/>
      </c>
      <c r="J9" s="8">
        <f>SUM(J6:J8)</f>
        <v/>
      </c>
    </row>
    <row r="10">
      <c r="A10" s="5" t="inlineStr">
        <is>
          <t xml:space="preserve">  Total revenue growth %</t>
        </is>
      </c>
      <c r="C10" s="2" t="inlineStr">
        <is>
          <t>n/a</t>
        </is>
      </c>
      <c r="D10" s="9">
        <f>D9/C9-1</f>
        <v/>
      </c>
      <c r="E10" s="9">
        <f>E9/D9-1</f>
        <v/>
      </c>
      <c r="F10" s="9">
        <f>F9/E9-1</f>
        <v/>
      </c>
      <c r="G10" s="9">
        <f>G9/F9-1</f>
        <v/>
      </c>
      <c r="H10" s="9">
        <f>H9/G9-1</f>
        <v/>
      </c>
      <c r="I10" s="9">
        <f>I9/H9-1</f>
        <v/>
      </c>
      <c r="J10" s="9">
        <f>J9/I9-1</f>
        <v/>
      </c>
    </row>
    <row r="12">
      <c r="A12" s="1" t="inlineStr">
        <is>
          <t>SEGMENT OPERATING MARGINS</t>
        </is>
      </c>
    </row>
    <row r="13">
      <c r="A13" s="3" t="inlineStr">
        <is>
          <t>($ in millions)</t>
        </is>
      </c>
      <c r="C13" s="4" t="inlineStr">
        <is>
          <t>FY2023A</t>
        </is>
      </c>
      <c r="D13" s="4" t="inlineStr">
        <is>
          <t>FY2024A</t>
        </is>
      </c>
      <c r="E13" s="4" t="inlineStr">
        <is>
          <t>FY2025A</t>
        </is>
      </c>
      <c r="F13" s="4" t="inlineStr">
        <is>
          <t>FY2026E</t>
        </is>
      </c>
      <c r="G13" s="4" t="inlineStr">
        <is>
          <t>FY2027E</t>
        </is>
      </c>
      <c r="H13" s="4" t="inlineStr">
        <is>
          <t>FY2028E</t>
        </is>
      </c>
      <c r="I13" s="4" t="inlineStr">
        <is>
          <t>FY2029E</t>
        </is>
      </c>
      <c r="J13" s="4" t="inlineStr">
        <is>
          <t>FY2030E</t>
        </is>
      </c>
    </row>
    <row r="14">
      <c r="A14" s="5" t="inlineStr">
        <is>
          <t xml:space="preserve">  Google Services op margin %</t>
        </is>
      </c>
      <c r="C14" s="10" t="n">
        <v>0.45</v>
      </c>
      <c r="D14" s="10" t="n">
        <v>0.45</v>
      </c>
      <c r="E14" s="10" t="n">
        <v>0.45</v>
      </c>
      <c r="F14" s="10" t="n">
        <v>0.45</v>
      </c>
      <c r="G14" s="10" t="n">
        <v>0.45</v>
      </c>
      <c r="H14" s="10" t="n">
        <v>0.45</v>
      </c>
      <c r="I14" s="10" t="n">
        <v>0.45</v>
      </c>
      <c r="J14" s="10" t="n">
        <v>0.45</v>
      </c>
    </row>
    <row r="15">
      <c r="A15" s="5" t="inlineStr">
        <is>
          <t xml:space="preserve">  Google Cloud op margin %</t>
        </is>
      </c>
      <c r="C15" s="10" t="n">
        <v>0.052</v>
      </c>
      <c r="D15" s="10" t="n">
        <v>0.14</v>
      </c>
      <c r="E15" s="10" t="n">
        <v>0.237</v>
      </c>
      <c r="F15" s="10" t="n">
        <v>0.3</v>
      </c>
      <c r="G15" s="10" t="n">
        <v>0.32</v>
      </c>
      <c r="H15" s="10" t="n">
        <v>0.34</v>
      </c>
      <c r="I15" s="10" t="n">
        <v>0.35</v>
      </c>
      <c r="J15" s="10" t="n">
        <v>0.36</v>
      </c>
    </row>
    <row r="16">
      <c r="A16" s="5" t="inlineStr">
        <is>
          <t xml:space="preserve">  Other Bets op margin % (loss)</t>
        </is>
      </c>
      <c r="C16" s="10" t="n">
        <v>-2.93</v>
      </c>
      <c r="D16" s="10" t="n">
        <v>-3</v>
      </c>
      <c r="E16" s="10" t="n">
        <v>-4.88</v>
      </c>
      <c r="F16" s="10" t="n">
        <v>-3.5</v>
      </c>
      <c r="G16" s="10" t="n">
        <v>-2.5</v>
      </c>
      <c r="H16" s="10" t="n">
        <v>-1.5</v>
      </c>
      <c r="I16" s="10" t="n">
        <v>-1</v>
      </c>
      <c r="J16" s="10" t="n">
        <v>-0.5</v>
      </c>
    </row>
    <row r="17">
      <c r="A17" s="5" t="inlineStr">
        <is>
          <t xml:space="preserve">  Corporate / unallocated ($M)</t>
        </is>
      </c>
      <c r="C17" s="6" t="n">
        <v>7000</v>
      </c>
      <c r="D17" s="6" t="n">
        <v>7500</v>
      </c>
      <c r="E17" s="6" t="n">
        <v>8000</v>
      </c>
      <c r="F17" s="6" t="n">
        <v>9000</v>
      </c>
      <c r="G17" s="6" t="n">
        <v>10000</v>
      </c>
      <c r="H17" s="6" t="n">
        <v>11000</v>
      </c>
      <c r="I17" s="6" t="n">
        <v>12000</v>
      </c>
      <c r="J17" s="6" t="n">
        <v>13000</v>
      </c>
    </row>
    <row r="19">
      <c r="A19" s="7" t="inlineStr">
        <is>
          <t>Total operating income (EBIT)</t>
        </is>
      </c>
      <c r="C19" s="8">
        <f>C6*C14+C7*C15+C8*C16-C17</f>
        <v/>
      </c>
      <c r="D19" s="8">
        <f>D6*D14+D7*D15+D8*D16-D17</f>
        <v/>
      </c>
      <c r="E19" s="8">
        <f>E6*E14+E7*E15+E8*E16-E17</f>
        <v/>
      </c>
      <c r="F19" s="8">
        <f>F6*F14+F7*F15+F8*F16-F17</f>
        <v/>
      </c>
      <c r="G19" s="8">
        <f>G6*G14+G7*G15+G8*G16-G17</f>
        <v/>
      </c>
      <c r="H19" s="8">
        <f>H6*H14+H7*H15+H8*H16-H17</f>
        <v/>
      </c>
      <c r="I19" s="8">
        <f>I6*I14+I7*I15+I8*I16-I17</f>
        <v/>
      </c>
      <c r="J19" s="8">
        <f>J6*J14+J7*J15+J8*J16-J17</f>
        <v/>
      </c>
    </row>
    <row r="21">
      <c r="A21" s="1" t="inlineStr">
        <is>
          <t>D&amp;A / CAPEX / TAX / NWC</t>
        </is>
      </c>
    </row>
    <row r="22">
      <c r="A22" s="3" t="inlineStr">
        <is>
          <t>($ in millions)</t>
        </is>
      </c>
      <c r="C22" s="4" t="inlineStr">
        <is>
          <t>FY2023A</t>
        </is>
      </c>
      <c r="D22" s="4" t="inlineStr">
        <is>
          <t>FY2024A</t>
        </is>
      </c>
      <c r="E22" s="4" t="inlineStr">
        <is>
          <t>FY2025A</t>
        </is>
      </c>
      <c r="F22" s="4" t="inlineStr">
        <is>
          <t>FY2026E</t>
        </is>
      </c>
      <c r="G22" s="4" t="inlineStr">
        <is>
          <t>FY2027E</t>
        </is>
      </c>
      <c r="H22" s="4" t="inlineStr">
        <is>
          <t>FY2028E</t>
        </is>
      </c>
      <c r="I22" s="4" t="inlineStr">
        <is>
          <t>FY2029E</t>
        </is>
      </c>
      <c r="J22" s="4" t="inlineStr">
        <is>
          <t>FY2030E</t>
        </is>
      </c>
    </row>
    <row r="23">
      <c r="A23" s="5" t="inlineStr">
        <is>
          <t xml:space="preserve">  D&amp;A ($M)</t>
        </is>
      </c>
      <c r="C23" s="6" t="n">
        <v>11946</v>
      </c>
      <c r="D23" s="6" t="n">
        <v>15311</v>
      </c>
      <c r="E23" s="6" t="n">
        <v>22000</v>
      </c>
      <c r="F23" s="6" t="n">
        <v>38000</v>
      </c>
      <c r="G23" s="6" t="n">
        <v>58000</v>
      </c>
      <c r="H23" s="6" t="n">
        <v>76000</v>
      </c>
      <c r="I23" s="6" t="n">
        <v>90000</v>
      </c>
      <c r="J23" s="6" t="n">
        <v>100000</v>
      </c>
    </row>
    <row r="24">
      <c r="A24" s="5" t="inlineStr">
        <is>
          <t xml:space="preserve">  Capex ($M)</t>
        </is>
      </c>
      <c r="C24" s="6" t="n">
        <v>32251</v>
      </c>
      <c r="D24" s="6" t="n">
        <v>52535</v>
      </c>
      <c r="E24" s="6" t="n">
        <v>92000</v>
      </c>
      <c r="F24" s="6" t="n">
        <v>185000</v>
      </c>
      <c r="G24" s="6" t="n">
        <v>200000</v>
      </c>
      <c r="H24" s="6" t="n">
        <v>180000</v>
      </c>
      <c r="I24" s="6" t="n">
        <v>160000</v>
      </c>
      <c r="J24" s="6" t="n">
        <v>150000</v>
      </c>
    </row>
    <row r="25">
      <c r="A25" s="5" t="inlineStr">
        <is>
          <t xml:space="preserve">  Cash tax rate %</t>
        </is>
      </c>
      <c r="C25" s="10" t="n">
        <v>0.155</v>
      </c>
      <c r="D25" s="10" t="n">
        <v>0.16</v>
      </c>
      <c r="E25" s="10" t="n">
        <v>0.16</v>
      </c>
      <c r="F25" s="10" t="n">
        <v>0.18</v>
      </c>
      <c r="G25" s="10" t="n">
        <v>0.2</v>
      </c>
      <c r="H25" s="10" t="n">
        <v>0.21</v>
      </c>
      <c r="I25" s="10" t="n">
        <v>0.21</v>
      </c>
      <c r="J25" s="10" t="n">
        <v>0.21</v>
      </c>
    </row>
    <row r="26">
      <c r="A26" s="5" t="inlineStr">
        <is>
          <t xml:space="preserve">  Incr. NWC % of rev growth</t>
        </is>
      </c>
      <c r="C26" s="10" t="n">
        <v>0.05</v>
      </c>
      <c r="D26" s="10" t="n">
        <v>0.05</v>
      </c>
      <c r="E26" s="10" t="n">
        <v>0.05</v>
      </c>
      <c r="F26" s="10" t="n">
        <v>0.05</v>
      </c>
      <c r="G26" s="10" t="n">
        <v>0.05</v>
      </c>
      <c r="H26" s="10" t="n">
        <v>0.05</v>
      </c>
      <c r="I26" s="10" t="n">
        <v>0.05</v>
      </c>
      <c r="J26" s="10" t="n">
        <v>0.05</v>
      </c>
    </row>
    <row r="28">
      <c r="A28" s="1" t="inlineStr">
        <is>
          <t>MARKET DATA &amp; WACC INPUTS</t>
        </is>
      </c>
    </row>
    <row r="29">
      <c r="A29" s="11" t="inlineStr">
        <is>
          <t>Current share price ($)</t>
        </is>
      </c>
      <c r="C29" s="12" t="n">
        <v>357.73</v>
      </c>
    </row>
    <row r="30">
      <c r="A30" s="11" t="inlineStr">
        <is>
          <t>Diluted shares (M)</t>
        </is>
      </c>
      <c r="C30" s="6" t="n">
        <v>12120</v>
      </c>
    </row>
    <row r="31">
      <c r="A31" s="11" t="inlineStr">
        <is>
          <t>Total debt ($M)</t>
        </is>
      </c>
      <c r="C31" s="6" t="n">
        <v>46500</v>
      </c>
    </row>
    <row r="32">
      <c r="A32" s="11" t="inlineStr">
        <is>
          <t>Cash &amp; marketable securities ($M)</t>
        </is>
      </c>
      <c r="C32" s="6" t="n">
        <v>126800</v>
      </c>
    </row>
    <row r="33">
      <c r="A33" s="11" t="inlineStr">
        <is>
          <t>Risk-free rate %</t>
        </is>
      </c>
      <c r="C33" s="10" t="n">
        <v>0.043</v>
      </c>
    </row>
    <row r="34">
      <c r="A34" s="11" t="inlineStr">
        <is>
          <t>Equity risk premium %</t>
        </is>
      </c>
      <c r="C34" s="10" t="n">
        <v>0.05</v>
      </c>
    </row>
    <row r="35">
      <c r="A35" s="11" t="inlineStr">
        <is>
          <t>Beta</t>
        </is>
      </c>
      <c r="C35" s="13" t="n">
        <v>1</v>
      </c>
    </row>
    <row r="36">
      <c r="A36" s="11" t="inlineStr">
        <is>
          <t>Pre-tax cost of debt %</t>
        </is>
      </c>
      <c r="C36" s="10" t="n">
        <v>0.045</v>
      </c>
    </row>
    <row r="37">
      <c r="A37" s="11" t="inlineStr">
        <is>
          <t>Terminal growth rate %</t>
        </is>
      </c>
      <c r="C37" s="10" t="n">
        <v>0.03</v>
      </c>
    </row>
    <row r="39">
      <c r="A39" s="1" t="inlineStr">
        <is>
          <t>WACC (computed)</t>
        </is>
      </c>
    </row>
    <row r="40">
      <c r="A40" s="11" t="inlineStr">
        <is>
          <t>Cost of equity</t>
        </is>
      </c>
      <c r="C40" s="9">
        <f>C33+C35*C34</f>
        <v/>
      </c>
    </row>
    <row r="41">
      <c r="A41" s="11" t="inlineStr">
        <is>
          <t>After-tax cost of debt</t>
        </is>
      </c>
      <c r="C41" s="9">
        <f>C36*(1-E25)</f>
        <v/>
      </c>
    </row>
    <row r="42">
      <c r="A42" s="11" t="inlineStr">
        <is>
          <t>Market value of equity ($M)</t>
        </is>
      </c>
      <c r="C42" s="14">
        <f>C29*C30</f>
        <v/>
      </c>
    </row>
    <row r="43">
      <c r="A43" s="11" t="inlineStr">
        <is>
          <t>Net debt / (cash) ($M)</t>
        </is>
      </c>
      <c r="C43" s="14">
        <f>C31-C32</f>
        <v/>
      </c>
    </row>
    <row r="44">
      <c r="A44" s="11" t="inlineStr">
        <is>
          <t>Equity weight</t>
        </is>
      </c>
      <c r="C44" s="9">
        <f>C42/(C42+C31)</f>
        <v/>
      </c>
    </row>
    <row r="45">
      <c r="A45" s="11" t="inlineStr">
        <is>
          <t>Debt weight</t>
        </is>
      </c>
      <c r="C45" s="9">
        <f>C31/(C42+C31)</f>
        <v/>
      </c>
    </row>
    <row r="46">
      <c r="A46" s="15" t="inlineStr">
        <is>
          <t>WACC</t>
        </is>
      </c>
      <c r="C46" s="16">
        <f>C44*C40+C45*C41</f>
        <v/>
      </c>
    </row>
  </sheetData>
  <mergeCells count="7">
    <mergeCell ref="A1:J1"/>
    <mergeCell ref="A21:J21"/>
    <mergeCell ref="A39:D39"/>
    <mergeCell ref="A12:J12"/>
    <mergeCell ref="A4:J4"/>
    <mergeCell ref="A2:J2"/>
    <mergeCell ref="A28:D28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INCOME STATEMENT ($M)</t>
        </is>
      </c>
    </row>
    <row r="4">
      <c r="A4" s="3" t="inlineStr">
        <is>
          <t>($ in millions)</t>
        </is>
      </c>
      <c r="C4" s="4" t="inlineStr">
        <is>
          <t>FY2023A</t>
        </is>
      </c>
      <c r="D4" s="4" t="inlineStr">
        <is>
          <t>FY2024A</t>
        </is>
      </c>
      <c r="E4" s="4" t="inlineStr">
        <is>
          <t>FY2025A</t>
        </is>
      </c>
      <c r="F4" s="4" t="inlineStr">
        <is>
          <t>FY2026E</t>
        </is>
      </c>
      <c r="G4" s="4" t="inlineStr">
        <is>
          <t>FY2027E</t>
        </is>
      </c>
      <c r="H4" s="4" t="inlineStr">
        <is>
          <t>FY2028E</t>
        </is>
      </c>
      <c r="I4" s="4" t="inlineStr">
        <is>
          <t>FY2029E</t>
        </is>
      </c>
      <c r="J4" s="4" t="inlineStr">
        <is>
          <t>FY2030E</t>
        </is>
      </c>
    </row>
    <row r="5">
      <c r="A5" s="7" t="inlineStr">
        <is>
          <t>Total revenue</t>
        </is>
      </c>
      <c r="C5" s="8">
        <f>Drivers!C9</f>
        <v/>
      </c>
      <c r="D5" s="8">
        <f>Drivers!D9</f>
        <v/>
      </c>
      <c r="E5" s="8">
        <f>Drivers!E9</f>
        <v/>
      </c>
      <c r="F5" s="8">
        <f>Drivers!F9</f>
        <v/>
      </c>
      <c r="G5" s="8">
        <f>Drivers!G9</f>
        <v/>
      </c>
      <c r="H5" s="8">
        <f>Drivers!H9</f>
        <v/>
      </c>
      <c r="I5" s="8">
        <f>Drivers!I9</f>
        <v/>
      </c>
      <c r="J5" s="8">
        <f>Drivers!J9</f>
        <v/>
      </c>
    </row>
    <row r="7">
      <c r="A7" s="5" t="inlineStr">
        <is>
          <t>Operating income (EBIT)</t>
        </is>
      </c>
      <c r="C7" s="14">
        <f>Drivers!C19</f>
        <v/>
      </c>
      <c r="D7" s="14">
        <f>Drivers!D19</f>
        <v/>
      </c>
      <c r="E7" s="14">
        <f>Drivers!E19</f>
        <v/>
      </c>
      <c r="F7" s="14">
        <f>Drivers!F19</f>
        <v/>
      </c>
      <c r="G7" s="14">
        <f>Drivers!G19</f>
        <v/>
      </c>
      <c r="H7" s="14">
        <f>Drivers!H19</f>
        <v/>
      </c>
      <c r="I7" s="14">
        <f>Drivers!I19</f>
        <v/>
      </c>
      <c r="J7" s="14">
        <f>Drivers!J19</f>
        <v/>
      </c>
    </row>
    <row r="8">
      <c r="A8" s="5" t="inlineStr">
        <is>
          <t>(+) D&amp;A</t>
        </is>
      </c>
      <c r="C8" s="14">
        <f>Drivers!C23</f>
        <v/>
      </c>
      <c r="D8" s="14">
        <f>Drivers!D23</f>
        <v/>
      </c>
      <c r="E8" s="14">
        <f>Drivers!E23</f>
        <v/>
      </c>
      <c r="F8" s="14">
        <f>Drivers!F23</f>
        <v/>
      </c>
      <c r="G8" s="14">
        <f>Drivers!G23</f>
        <v/>
      </c>
      <c r="H8" s="14">
        <f>Drivers!H23</f>
        <v/>
      </c>
      <c r="I8" s="14">
        <f>Drivers!I23</f>
        <v/>
      </c>
      <c r="J8" s="14">
        <f>Drivers!J23</f>
        <v/>
      </c>
    </row>
    <row r="9">
      <c r="A9" s="7" t="inlineStr">
        <is>
          <t>EBITDA</t>
        </is>
      </c>
      <c r="C9" s="8">
        <f>C7+C8</f>
        <v/>
      </c>
      <c r="D9" s="8">
        <f>D7+D8</f>
        <v/>
      </c>
      <c r="E9" s="8">
        <f>E7+E8</f>
        <v/>
      </c>
      <c r="F9" s="8">
        <f>F7+F8</f>
        <v/>
      </c>
      <c r="G9" s="8">
        <f>G7+G8</f>
        <v/>
      </c>
      <c r="H9" s="8">
        <f>H7+H8</f>
        <v/>
      </c>
      <c r="I9" s="8">
        <f>I7+I8</f>
        <v/>
      </c>
      <c r="J9" s="8">
        <f>J7+J8</f>
        <v/>
      </c>
    </row>
    <row r="10">
      <c r="A10" s="5" t="inlineStr">
        <is>
          <t>(-) Net interest expense (or +income)</t>
        </is>
      </c>
      <c r="C10" s="6" t="n">
        <v>-3050</v>
      </c>
      <c r="D10" s="6" t="n">
        <v>-4000</v>
      </c>
      <c r="E10" s="6" t="n">
        <v>-5000</v>
      </c>
      <c r="F10" s="14">
        <f>Drivers!F24/40</f>
        <v/>
      </c>
      <c r="G10" s="14">
        <f>Drivers!G24/40</f>
        <v/>
      </c>
      <c r="H10" s="14">
        <f>Drivers!H24/40</f>
        <v/>
      </c>
      <c r="I10" s="14">
        <f>Drivers!I24/40</f>
        <v/>
      </c>
      <c r="J10" s="14">
        <f>Drivers!J24/40</f>
        <v/>
      </c>
    </row>
    <row r="11">
      <c r="A11" s="5" t="inlineStr">
        <is>
          <t>Pre-tax income</t>
        </is>
      </c>
      <c r="C11" s="14">
        <f>C9-C8-C10</f>
        <v/>
      </c>
      <c r="D11" s="14">
        <f>D9-D8-D10</f>
        <v/>
      </c>
      <c r="E11" s="14">
        <f>E9-E8-E10</f>
        <v/>
      </c>
      <c r="F11" s="14">
        <f>F9-F8-F10</f>
        <v/>
      </c>
      <c r="G11" s="14">
        <f>G9-G8-G10</f>
        <v/>
      </c>
      <c r="H11" s="14">
        <f>H9-H8-H10</f>
        <v/>
      </c>
      <c r="I11" s="14">
        <f>I9-I8-I10</f>
        <v/>
      </c>
      <c r="J11" s="14">
        <f>J9-J8-J10</f>
        <v/>
      </c>
    </row>
    <row r="12">
      <c r="A12" s="5" t="inlineStr">
        <is>
          <t>(-) Income taxes</t>
        </is>
      </c>
      <c r="C12" s="14">
        <f>C11*Drivers!C25</f>
        <v/>
      </c>
      <c r="D12" s="14">
        <f>D11*Drivers!D25</f>
        <v/>
      </c>
      <c r="E12" s="14">
        <f>E11*Drivers!E25</f>
        <v/>
      </c>
      <c r="F12" s="14">
        <f>F11*Drivers!F25</f>
        <v/>
      </c>
      <c r="G12" s="14">
        <f>G11*Drivers!G25</f>
        <v/>
      </c>
      <c r="H12" s="14">
        <f>H11*Drivers!H25</f>
        <v/>
      </c>
      <c r="I12" s="14">
        <f>I11*Drivers!I25</f>
        <v/>
      </c>
      <c r="J12" s="14">
        <f>J11*Drivers!J25</f>
        <v/>
      </c>
    </row>
    <row r="13">
      <c r="A13" s="7" t="inlineStr">
        <is>
          <t>Net income (GAAP)</t>
        </is>
      </c>
      <c r="C13" s="8">
        <f>C11-C12</f>
        <v/>
      </c>
      <c r="D13" s="8">
        <f>D11-D12</f>
        <v/>
      </c>
      <c r="E13" s="8">
        <f>E11-E12</f>
        <v/>
      </c>
      <c r="F13" s="8">
        <f>F11-F12</f>
        <v/>
      </c>
      <c r="G13" s="8">
        <f>G11-G12</f>
        <v/>
      </c>
      <c r="H13" s="8">
        <f>H11-H12</f>
        <v/>
      </c>
      <c r="I13" s="8">
        <f>I11-I12</f>
        <v/>
      </c>
      <c r="J13" s="8">
        <f>J11-J12</f>
        <v/>
      </c>
    </row>
    <row r="14">
      <c r="A14" s="5" t="inlineStr">
        <is>
          <t>Net margin %</t>
        </is>
      </c>
      <c r="C14" s="9">
        <f>C13/C5</f>
        <v/>
      </c>
      <c r="D14" s="9">
        <f>D13/D5</f>
        <v/>
      </c>
      <c r="E14" s="9">
        <f>E13/E5</f>
        <v/>
      </c>
      <c r="F14" s="9">
        <f>F13/F5</f>
        <v/>
      </c>
      <c r="G14" s="9">
        <f>G13/G5</f>
        <v/>
      </c>
      <c r="H14" s="9">
        <f>H13/H5</f>
        <v/>
      </c>
      <c r="I14" s="9">
        <f>I13/I5</f>
        <v/>
      </c>
      <c r="J14" s="9">
        <f>J13/J5</f>
        <v/>
      </c>
    </row>
  </sheetData>
  <mergeCells count="1">
    <mergeCell ref="A1:J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BALANCE SHEET (summary, $M)</t>
        </is>
      </c>
    </row>
    <row r="4">
      <c r="A4" s="3" t="inlineStr">
        <is>
          <t>($ in millions)</t>
        </is>
      </c>
      <c r="C4" s="4" t="inlineStr">
        <is>
          <t>FY2023A</t>
        </is>
      </c>
      <c r="D4" s="4" t="inlineStr">
        <is>
          <t>FY2024A</t>
        </is>
      </c>
      <c r="E4" s="4" t="inlineStr">
        <is>
          <t>FY2025A</t>
        </is>
      </c>
      <c r="F4" s="4" t="inlineStr">
        <is>
          <t>FY2026E</t>
        </is>
      </c>
      <c r="G4" s="4" t="inlineStr">
        <is>
          <t>FY2027E</t>
        </is>
      </c>
      <c r="H4" s="4" t="inlineStr">
        <is>
          <t>FY2028E</t>
        </is>
      </c>
      <c r="I4" s="4" t="inlineStr">
        <is>
          <t>FY2029E</t>
        </is>
      </c>
      <c r="J4" s="4" t="inlineStr">
        <is>
          <t>FY2030E</t>
        </is>
      </c>
    </row>
    <row r="5">
      <c r="A5" s="5" t="inlineStr">
        <is>
          <t>Cash + marketable securities</t>
        </is>
      </c>
      <c r="C5" s="6" t="n">
        <v>110900</v>
      </c>
      <c r="D5" s="6" t="n">
        <v>95700</v>
      </c>
      <c r="E5" s="6" t="n">
        <v>126800</v>
      </c>
      <c r="F5" s="14">
        <f>E5+'Cash Flow'!F13-F10-F11</f>
        <v/>
      </c>
      <c r="G5" s="14">
        <f>F5+'Cash Flow'!G13-G10-G11</f>
        <v/>
      </c>
      <c r="H5" s="14">
        <f>G5+'Cash Flow'!H13-H10-H11</f>
        <v/>
      </c>
      <c r="I5" s="14">
        <f>H5+'Cash Flow'!I13-I10-I11</f>
        <v/>
      </c>
      <c r="J5" s="14">
        <f>I5+'Cash Flow'!J13-J10-J11</f>
        <v/>
      </c>
    </row>
    <row r="6">
      <c r="A6" s="5" t="inlineStr">
        <is>
          <t>Other assets (plug)</t>
        </is>
      </c>
      <c r="C6" s="14">
        <f>C7+C8-C5</f>
        <v/>
      </c>
      <c r="D6" s="14">
        <f>D7+D8-D5</f>
        <v/>
      </c>
      <c r="E6" s="14">
        <f>E7+E8-E5</f>
        <v/>
      </c>
      <c r="F6" s="14">
        <f>F7+F8-F5</f>
        <v/>
      </c>
      <c r="G6" s="14">
        <f>G7+G8-G5</f>
        <v/>
      </c>
      <c r="H6" s="14">
        <f>H7+H8-H5</f>
        <v/>
      </c>
      <c r="I6" s="14">
        <f>I7+I8-I5</f>
        <v/>
      </c>
      <c r="J6" s="14">
        <f>J7+J8-J5</f>
        <v/>
      </c>
    </row>
    <row r="7">
      <c r="A7" s="5" t="inlineStr">
        <is>
          <t>Total debt</t>
        </is>
      </c>
      <c r="C7" s="6" t="n">
        <v>13253</v>
      </c>
      <c r="D7" s="6" t="n">
        <v>10883</v>
      </c>
      <c r="E7" s="6" t="n">
        <v>46500</v>
      </c>
      <c r="F7" s="14">
        <f>E7</f>
        <v/>
      </c>
      <c r="G7" s="14">
        <f>F7</f>
        <v/>
      </c>
      <c r="H7" s="14">
        <f>G7</f>
        <v/>
      </c>
      <c r="I7" s="14">
        <f>H7</f>
        <v/>
      </c>
      <c r="J7" s="14">
        <f>I7</f>
        <v/>
      </c>
    </row>
    <row r="8">
      <c r="A8" s="5" t="inlineStr">
        <is>
          <t>Shareholders' equity</t>
        </is>
      </c>
      <c r="C8" s="6" t="n">
        <v>283379</v>
      </c>
      <c r="D8" s="6" t="n">
        <v>325084</v>
      </c>
      <c r="E8" s="6" t="n">
        <v>365000</v>
      </c>
      <c r="F8" s="14">
        <f>E8+'Income Statement'!F13-F11-F10</f>
        <v/>
      </c>
      <c r="G8" s="14">
        <f>F8+'Income Statement'!G13-G11-G10</f>
        <v/>
      </c>
      <c r="H8" s="14">
        <f>G8+'Income Statement'!H13-H11-H10</f>
        <v/>
      </c>
      <c r="I8" s="14">
        <f>H8+'Income Statement'!I13-I11-I10</f>
        <v/>
      </c>
      <c r="J8" s="14">
        <f>I8+'Income Statement'!J13-J11-J10</f>
        <v/>
      </c>
    </row>
    <row r="9">
      <c r="A9" s="7" t="inlineStr">
        <is>
          <t>Net cash (debt)</t>
        </is>
      </c>
      <c r="C9" s="8">
        <f>C5-C7</f>
        <v/>
      </c>
      <c r="D9" s="8">
        <f>D5-D7</f>
        <v/>
      </c>
      <c r="E9" s="8">
        <f>E5-E7</f>
        <v/>
      </c>
      <c r="F9" s="8">
        <f>F5-F7</f>
        <v/>
      </c>
      <c r="G9" s="8">
        <f>G5-G7</f>
        <v/>
      </c>
      <c r="H9" s="8">
        <f>H5-H7</f>
        <v/>
      </c>
      <c r="I9" s="8">
        <f>I5-I7</f>
        <v/>
      </c>
      <c r="J9" s="8">
        <f>J5-J7</f>
        <v/>
      </c>
    </row>
    <row r="10">
      <c r="A10" s="5" t="inlineStr">
        <is>
          <t>Equity issuance/(repurchase) in year</t>
        </is>
      </c>
      <c r="F10" s="6" t="n">
        <v>-84750</v>
      </c>
      <c r="G10" s="6" t="n">
        <v>0</v>
      </c>
      <c r="H10" s="6" t="n">
        <v>0</v>
      </c>
      <c r="I10" s="6" t="n">
        <v>0</v>
      </c>
      <c r="J10" s="6" t="n">
        <v>0</v>
      </c>
    </row>
    <row r="11">
      <c r="A11" s="5" t="inlineStr">
        <is>
          <t>Dividends + buybacks (cash out)</t>
        </is>
      </c>
      <c r="F11" s="6" t="n">
        <v>50000</v>
      </c>
      <c r="G11" s="6" t="n">
        <v>60000</v>
      </c>
      <c r="H11" s="6" t="n">
        <v>70000</v>
      </c>
      <c r="I11" s="6" t="n">
        <v>80000</v>
      </c>
      <c r="J11" s="6" t="n">
        <v>90000</v>
      </c>
    </row>
  </sheetData>
  <mergeCells count="1">
    <mergeCell ref="A1:J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CASH FLOW &amp; FREE CASH FLOW ($M)</t>
        </is>
      </c>
    </row>
    <row r="4">
      <c r="A4" s="3" t="inlineStr">
        <is>
          <t>($ in millions)</t>
        </is>
      </c>
      <c r="C4" s="4" t="inlineStr">
        <is>
          <t>FY2023A</t>
        </is>
      </c>
      <c r="D4" s="4" t="inlineStr">
        <is>
          <t>FY2024A</t>
        </is>
      </c>
      <c r="E4" s="4" t="inlineStr">
        <is>
          <t>FY2025A</t>
        </is>
      </c>
      <c r="F4" s="4" t="inlineStr">
        <is>
          <t>FY2026E</t>
        </is>
      </c>
      <c r="G4" s="4" t="inlineStr">
        <is>
          <t>FY2027E</t>
        </is>
      </c>
      <c r="H4" s="4" t="inlineStr">
        <is>
          <t>FY2028E</t>
        </is>
      </c>
      <c r="I4" s="4" t="inlineStr">
        <is>
          <t>FY2029E</t>
        </is>
      </c>
      <c r="J4" s="4" t="inlineStr">
        <is>
          <t>FY2030E</t>
        </is>
      </c>
    </row>
    <row r="5">
      <c r="A5" s="5" t="inlineStr">
        <is>
          <t>EBIT</t>
        </is>
      </c>
      <c r="C5" s="14">
        <f>'Income Statement'!C7</f>
        <v/>
      </c>
      <c r="D5" s="14">
        <f>'Income Statement'!D7</f>
        <v/>
      </c>
      <c r="E5" s="14">
        <f>'Income Statement'!E7</f>
        <v/>
      </c>
      <c r="F5" s="14">
        <f>'Income Statement'!F7</f>
        <v/>
      </c>
      <c r="G5" s="14">
        <f>'Income Statement'!G7</f>
        <v/>
      </c>
      <c r="H5" s="14">
        <f>'Income Statement'!H7</f>
        <v/>
      </c>
      <c r="I5" s="14">
        <f>'Income Statement'!I7</f>
        <v/>
      </c>
      <c r="J5" s="14">
        <f>'Income Statement'!J7</f>
        <v/>
      </c>
    </row>
    <row r="6">
      <c r="A6" s="5" t="inlineStr">
        <is>
          <t>(-) Cash taxes on EBIT</t>
        </is>
      </c>
      <c r="C6" s="14">
        <f>C5*Drivers!C25</f>
        <v/>
      </c>
      <c r="D6" s="14">
        <f>D5*Drivers!D25</f>
        <v/>
      </c>
      <c r="E6" s="14">
        <f>E5*Drivers!E25</f>
        <v/>
      </c>
      <c r="F6" s="14">
        <f>F5*Drivers!F25</f>
        <v/>
      </c>
      <c r="G6" s="14">
        <f>G5*Drivers!G25</f>
        <v/>
      </c>
      <c r="H6" s="14">
        <f>H5*Drivers!H25</f>
        <v/>
      </c>
      <c r="I6" s="14">
        <f>I5*Drivers!I25</f>
        <v/>
      </c>
      <c r="J6" s="14">
        <f>J5*Drivers!J25</f>
        <v/>
      </c>
    </row>
    <row r="7">
      <c r="A7" s="5" t="inlineStr">
        <is>
          <t>NOPAT</t>
        </is>
      </c>
      <c r="C7" s="8">
        <f>C5-C6</f>
        <v/>
      </c>
      <c r="D7" s="8">
        <f>D5-D6</f>
        <v/>
      </c>
      <c r="E7" s="8">
        <f>E5-E6</f>
        <v/>
      </c>
      <c r="F7" s="8">
        <f>F5-F6</f>
        <v/>
      </c>
      <c r="G7" s="8">
        <f>G5-G6</f>
        <v/>
      </c>
      <c r="H7" s="8">
        <f>H5-H6</f>
        <v/>
      </c>
      <c r="I7" s="8">
        <f>I5-I6</f>
        <v/>
      </c>
      <c r="J7" s="8">
        <f>J5-J6</f>
        <v/>
      </c>
    </row>
    <row r="8">
      <c r="A8" s="5" t="inlineStr">
        <is>
          <t>(+) D&amp;A</t>
        </is>
      </c>
      <c r="C8" s="14">
        <f>Drivers!C23</f>
        <v/>
      </c>
      <c r="D8" s="14">
        <f>Drivers!D23</f>
        <v/>
      </c>
      <c r="E8" s="14">
        <f>Drivers!E23</f>
        <v/>
      </c>
      <c r="F8" s="14">
        <f>Drivers!F23</f>
        <v/>
      </c>
      <c r="G8" s="14">
        <f>Drivers!G23</f>
        <v/>
      </c>
      <c r="H8" s="14">
        <f>Drivers!H23</f>
        <v/>
      </c>
      <c r="I8" s="14">
        <f>Drivers!I23</f>
        <v/>
      </c>
      <c r="J8" s="14">
        <f>Drivers!J23</f>
        <v/>
      </c>
    </row>
    <row r="9">
      <c r="A9" s="5" t="inlineStr">
        <is>
          <t>(-) Capex</t>
        </is>
      </c>
      <c r="C9" s="14">
        <f>Drivers!C24</f>
        <v/>
      </c>
      <c r="D9" s="14">
        <f>Drivers!D24</f>
        <v/>
      </c>
      <c r="E9" s="14">
        <f>Drivers!E24</f>
        <v/>
      </c>
      <c r="F9" s="14">
        <f>Drivers!F24</f>
        <v/>
      </c>
      <c r="G9" s="14">
        <f>Drivers!G24</f>
        <v/>
      </c>
      <c r="H9" s="14">
        <f>Drivers!H24</f>
        <v/>
      </c>
      <c r="I9" s="14">
        <f>Drivers!I24</f>
        <v/>
      </c>
      <c r="J9" s="14">
        <f>Drivers!J24</f>
        <v/>
      </c>
    </row>
    <row r="10">
      <c r="A10" s="5" t="inlineStr">
        <is>
          <t>(-) Increase in net working capital</t>
        </is>
      </c>
      <c r="C10" s="14">
        <f>0</f>
        <v/>
      </c>
      <c r="D10" s="14">
        <f>(Drivers!D9-Drivers!C9)*Drivers!D26</f>
        <v/>
      </c>
      <c r="E10" s="14">
        <f>(Drivers!E9-Drivers!D9)*Drivers!E26</f>
        <v/>
      </c>
      <c r="F10" s="14">
        <f>(Drivers!F9-Drivers!E9)*Drivers!F26</f>
        <v/>
      </c>
      <c r="G10" s="14">
        <f>(Drivers!G9-Drivers!F9)*Drivers!G26</f>
        <v/>
      </c>
      <c r="H10" s="14">
        <f>(Drivers!H9-Drivers!G9)*Drivers!H26</f>
        <v/>
      </c>
      <c r="I10" s="14">
        <f>(Drivers!I9-Drivers!H9)*Drivers!I26</f>
        <v/>
      </c>
      <c r="J10" s="14">
        <f>(Drivers!J9-Drivers!I9)*Drivers!J26</f>
        <v/>
      </c>
    </row>
    <row r="11">
      <c r="A11" s="7" t="inlineStr">
        <is>
          <t>Unlevered free cash flow</t>
        </is>
      </c>
      <c r="C11" s="17">
        <f>C7+C8-C9-C10</f>
        <v/>
      </c>
      <c r="D11" s="17">
        <f>D7+D8-D9-D10</f>
        <v/>
      </c>
      <c r="E11" s="17">
        <f>E7+E8-E9-E10</f>
        <v/>
      </c>
      <c r="F11" s="17">
        <f>F7+F8-F9-F10</f>
        <v/>
      </c>
      <c r="G11" s="17">
        <f>G7+G8-G9-G10</f>
        <v/>
      </c>
      <c r="H11" s="17">
        <f>H7+H8-H9-H10</f>
        <v/>
      </c>
      <c r="I11" s="17">
        <f>I7+I8-I9-I10</f>
        <v/>
      </c>
      <c r="J11" s="17">
        <f>J7+J8-J9-J10</f>
        <v/>
      </c>
    </row>
    <row r="12">
      <c r="A12" s="5" t="inlineStr">
        <is>
          <t>(-) After-tax net interest</t>
        </is>
      </c>
      <c r="C12" s="14">
        <f>'Income Statement'!C10*(1-Drivers!C25)</f>
        <v/>
      </c>
      <c r="D12" s="14">
        <f>'Income Statement'!D10*(1-Drivers!D25)</f>
        <v/>
      </c>
      <c r="E12" s="14">
        <f>'Income Statement'!E10*(1-Drivers!E25)</f>
        <v/>
      </c>
      <c r="F12" s="14">
        <f>'Income Statement'!F10*(1-Drivers!F25)</f>
        <v/>
      </c>
      <c r="G12" s="14">
        <f>'Income Statement'!G10*(1-Drivers!G25)</f>
        <v/>
      </c>
      <c r="H12" s="14">
        <f>'Income Statement'!H10*(1-Drivers!H25)</f>
        <v/>
      </c>
      <c r="I12" s="14">
        <f>'Income Statement'!I10*(1-Drivers!I25)</f>
        <v/>
      </c>
      <c r="J12" s="14">
        <f>'Income Statement'!J10*(1-Drivers!J25)</f>
        <v/>
      </c>
    </row>
    <row r="13">
      <c r="A13" s="7" t="inlineStr">
        <is>
          <t>Levered free cash flow</t>
        </is>
      </c>
      <c r="C13" s="8">
        <f>C11-C12</f>
        <v/>
      </c>
      <c r="D13" s="8">
        <f>D11-D12</f>
        <v/>
      </c>
      <c r="E13" s="8">
        <f>E11-E12</f>
        <v/>
      </c>
      <c r="F13" s="8">
        <f>F11-F12</f>
        <v/>
      </c>
      <c r="G13" s="8">
        <f>G11-G12</f>
        <v/>
      </c>
      <c r="H13" s="8">
        <f>H11-H12</f>
        <v/>
      </c>
      <c r="I13" s="8">
        <f>I11-I12</f>
        <v/>
      </c>
      <c r="J13" s="8">
        <f>J11-J12</f>
        <v/>
      </c>
    </row>
    <row r="14">
      <c r="A14" s="5" t="inlineStr">
        <is>
          <t>Unlevered FCF margin %</t>
        </is>
      </c>
      <c r="C14" s="9">
        <f>C11/Drivers!C9</f>
        <v/>
      </c>
      <c r="D14" s="9">
        <f>D11/Drivers!D9</f>
        <v/>
      </c>
      <c r="E14" s="9">
        <f>E11/Drivers!E9</f>
        <v/>
      </c>
      <c r="F14" s="9">
        <f>F11/Drivers!F9</f>
        <v/>
      </c>
      <c r="G14" s="9">
        <f>G11/Drivers!G9</f>
        <v/>
      </c>
      <c r="H14" s="9">
        <f>H11/Drivers!H9</f>
        <v/>
      </c>
      <c r="I14" s="9">
        <f>I11/Drivers!I9</f>
        <v/>
      </c>
      <c r="J14" s="9">
        <f>J11/Drivers!J9</f>
        <v/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DISCOUNTED CASH FLOW VALUATION</t>
        </is>
      </c>
    </row>
    <row r="4">
      <c r="A4" s="18" t="inlineStr">
        <is>
          <t>Projection year</t>
        </is>
      </c>
      <c r="B4" s="4" t="inlineStr">
        <is>
          <t>FY2026E</t>
        </is>
      </c>
      <c r="C4" s="4" t="inlineStr">
        <is>
          <t>FY2027E</t>
        </is>
      </c>
      <c r="D4" s="4" t="inlineStr">
        <is>
          <t>FY2028E</t>
        </is>
      </c>
      <c r="E4" s="4" t="inlineStr">
        <is>
          <t>FY2029E</t>
        </is>
      </c>
      <c r="F4" s="4" t="inlineStr">
        <is>
          <t>FY2030E</t>
        </is>
      </c>
    </row>
    <row r="5">
      <c r="A5" s="11" t="inlineStr">
        <is>
          <t>Period (n)</t>
        </is>
      </c>
      <c r="B5" s="14">
        <f>1</f>
        <v/>
      </c>
      <c r="C5" s="14">
        <f>2</f>
        <v/>
      </c>
      <c r="D5" s="14">
        <f>3</f>
        <v/>
      </c>
      <c r="E5" s="14">
        <f>4</f>
        <v/>
      </c>
      <c r="F5" s="14">
        <f>5</f>
        <v/>
      </c>
    </row>
    <row r="6">
      <c r="A6" s="11" t="inlineStr">
        <is>
          <t>Unlevered FCF</t>
        </is>
      </c>
      <c r="B6" s="14">
        <f>'Cash Flow'!F11</f>
        <v/>
      </c>
      <c r="C6" s="14">
        <f>'Cash Flow'!G11</f>
        <v/>
      </c>
      <c r="D6" s="14">
        <f>'Cash Flow'!H11</f>
        <v/>
      </c>
      <c r="E6" s="14">
        <f>'Cash Flow'!I11</f>
        <v/>
      </c>
      <c r="F6" s="14">
        <f>'Cash Flow'!J11</f>
        <v/>
      </c>
    </row>
    <row r="7">
      <c r="A7" s="11" t="inlineStr">
        <is>
          <t>Discount factor @ WACC</t>
        </is>
      </c>
      <c r="B7" s="19">
        <f>1/(1+Drivers!C46)^B5</f>
        <v/>
      </c>
      <c r="C7" s="19">
        <f>1/(1+Drivers!C46)^C5</f>
        <v/>
      </c>
      <c r="D7" s="19">
        <f>1/(1+Drivers!C46)^D5</f>
        <v/>
      </c>
      <c r="E7" s="19">
        <f>1/(1+Drivers!C46)^E5</f>
        <v/>
      </c>
      <c r="F7" s="19">
        <f>1/(1+Drivers!C46)^F5</f>
        <v/>
      </c>
    </row>
    <row r="8">
      <c r="A8" s="15" t="inlineStr">
        <is>
          <t>PV of unlevered FCF</t>
        </is>
      </c>
      <c r="B8" s="14">
        <f>B6*B7</f>
        <v/>
      </c>
      <c r="C8" s="14">
        <f>C6*C7</f>
        <v/>
      </c>
      <c r="D8" s="14">
        <f>D6*D7</f>
        <v/>
      </c>
      <c r="E8" s="14">
        <f>E6*E7</f>
        <v/>
      </c>
      <c r="F8" s="14">
        <f>F6*F7</f>
        <v/>
      </c>
    </row>
    <row r="10">
      <c r="A10" s="11" t="inlineStr">
        <is>
          <t>Sum of PV of explicit FCF (FY26-30)</t>
        </is>
      </c>
      <c r="C10" s="14">
        <f>SUM(B8:F8)</f>
        <v/>
      </c>
    </row>
    <row r="11">
      <c r="A11" s="11" t="inlineStr">
        <is>
          <t>Terminal-year FCF (FY2030)</t>
        </is>
      </c>
      <c r="C11" s="14">
        <f>F6</f>
        <v/>
      </c>
    </row>
    <row r="12">
      <c r="A12" s="11" t="inlineStr">
        <is>
          <t>Terminal value (Gordon)</t>
        </is>
      </c>
      <c r="C12" s="14">
        <f>F6*(1+Drivers!C37)/(Drivers!C46-Drivers!C37)</f>
        <v/>
      </c>
    </row>
    <row r="13">
      <c r="A13" s="11" t="inlineStr">
        <is>
          <t>PV of terminal value</t>
        </is>
      </c>
      <c r="C13" s="14">
        <f>C12*F7</f>
        <v/>
      </c>
    </row>
    <row r="14">
      <c r="A14" s="15" t="inlineStr">
        <is>
          <t>Enterprise value</t>
        </is>
      </c>
      <c r="C14" s="8">
        <f>C10+C13</f>
        <v/>
      </c>
    </row>
    <row r="15">
      <c r="A15" s="11" t="inlineStr">
        <is>
          <t>(+) Net cash (subtract net debt)</t>
        </is>
      </c>
      <c r="C15" s="14">
        <f>Drivers!C32-Drivers!C31</f>
        <v/>
      </c>
    </row>
    <row r="16">
      <c r="A16" s="11" t="inlineStr">
        <is>
          <t>Equity value</t>
        </is>
      </c>
      <c r="C16" s="14">
        <f>C14+C15</f>
        <v/>
      </c>
    </row>
    <row r="17">
      <c r="A17" s="11" t="inlineStr">
        <is>
          <t>Diluted shares (M)</t>
        </is>
      </c>
      <c r="C17" s="14">
        <f>Drivers!C30</f>
        <v/>
      </c>
    </row>
    <row r="18">
      <c r="A18" s="15" t="inlineStr">
        <is>
          <t>Implied value per share ($)</t>
        </is>
      </c>
      <c r="C18" s="20">
        <f>C16/C17</f>
        <v/>
      </c>
    </row>
    <row r="19">
      <c r="A19" s="11" t="inlineStr">
        <is>
          <t>Current share price ($)</t>
        </is>
      </c>
      <c r="C19" s="21">
        <f>Drivers!C29</f>
        <v/>
      </c>
    </row>
    <row r="20">
      <c r="A20" s="11" t="inlineStr">
        <is>
          <t>Upside / (downside) to current</t>
        </is>
      </c>
      <c r="C20" s="9">
        <f>C18/C19-1</f>
        <v/>
      </c>
    </row>
    <row r="21">
      <c r="A21" s="11" t="inlineStr">
        <is>
          <t>TV as % of enterprise value</t>
        </is>
      </c>
      <c r="C21" s="9">
        <f>C13/C14</f>
        <v/>
      </c>
    </row>
    <row r="22">
      <c r="A22" s="1" t="inlineStr">
        <is>
          <t>SENSITIVITY — Implied $/share: WACC (down) x Terminal growth (across)</t>
        </is>
      </c>
    </row>
    <row r="23">
      <c r="B23" s="3" t="inlineStr">
        <is>
          <t>Terminal g →</t>
        </is>
      </c>
      <c r="C23" s="22" t="n">
        <v>0.02</v>
      </c>
      <c r="D23" s="22" t="n">
        <v>0.025</v>
      </c>
      <c r="E23" s="22" t="n">
        <v>0.03</v>
      </c>
      <c r="F23" s="22" t="n">
        <v>0.035</v>
      </c>
      <c r="G23" s="22" t="n">
        <v>0.04</v>
      </c>
    </row>
    <row r="24">
      <c r="A24" s="3" t="inlineStr">
        <is>
          <t>WACC ↓</t>
        </is>
      </c>
      <c r="B24" s="22" t="n">
        <v>0.08</v>
      </c>
      <c r="C24" s="21">
        <f>(($B$6/(1+$B$24)^1+$C$6/(1+$B$24)^2+$D$6/(1+$B$24)^3+$E$6/(1+$B$24)^4+$F$6/(1+$B$24)^5)+(($F$6*(1+C$23)/($B$24-C$23))/(1+$B$24)^5)+Drivers!$C$32-Drivers!$C$31)/Drivers!$C$30</f>
        <v/>
      </c>
      <c r="D24" s="21">
        <f>(($B$6/(1+$B$24)^1+$C$6/(1+$B$24)^2+$D$6/(1+$B$24)^3+$E$6/(1+$B$24)^4+$F$6/(1+$B$24)^5)+(($F$6*(1+D$23)/($B$24-D$23))/(1+$B$24)^5)+Drivers!$C$32-Drivers!$C$31)/Drivers!$C$30</f>
        <v/>
      </c>
      <c r="E24" s="21">
        <f>(($B$6/(1+$B$24)^1+$C$6/(1+$B$24)^2+$D$6/(1+$B$24)^3+$E$6/(1+$B$24)^4+$F$6/(1+$B$24)^5)+(($F$6*(1+E$23)/($B$24-E$23))/(1+$B$24)^5)+Drivers!$C$32-Drivers!$C$31)/Drivers!$C$30</f>
        <v/>
      </c>
      <c r="F24" s="21">
        <f>(($B$6/(1+$B$24)^1+$C$6/(1+$B$24)^2+$D$6/(1+$B$24)^3+$E$6/(1+$B$24)^4+$F$6/(1+$B$24)^5)+(($F$6*(1+F$23)/($B$24-F$23))/(1+$B$24)^5)+Drivers!$C$32-Drivers!$C$31)/Drivers!$C$30</f>
        <v/>
      </c>
      <c r="G24" s="21">
        <f>(($B$6/(1+$B$24)^1+$C$6/(1+$B$24)^2+$D$6/(1+$B$24)^3+$E$6/(1+$B$24)^4+$F$6/(1+$B$24)^5)+(($F$6*(1+G$23)/($B$24-G$23))/(1+$B$24)^5)+Drivers!$C$32-Drivers!$C$31)/Drivers!$C$30</f>
        <v/>
      </c>
    </row>
    <row r="25">
      <c r="B25" s="22" t="n">
        <v>0.08500000000000001</v>
      </c>
      <c r="C25" s="21">
        <f>(($B$6/(1+$B$25)^1+$C$6/(1+$B$25)^2+$D$6/(1+$B$25)^3+$E$6/(1+$B$25)^4+$F$6/(1+$B$25)^5)+(($F$6*(1+C$23)/($B$25-C$23))/(1+$B$25)^5)+Drivers!$C$32-Drivers!$C$31)/Drivers!$C$30</f>
        <v/>
      </c>
      <c r="D25" s="21">
        <f>(($B$6/(1+$B$25)^1+$C$6/(1+$B$25)^2+$D$6/(1+$B$25)^3+$E$6/(1+$B$25)^4+$F$6/(1+$B$25)^5)+(($F$6*(1+D$23)/($B$25-D$23))/(1+$B$25)^5)+Drivers!$C$32-Drivers!$C$31)/Drivers!$C$30</f>
        <v/>
      </c>
      <c r="E25" s="21">
        <f>(($B$6/(1+$B$25)^1+$C$6/(1+$B$25)^2+$D$6/(1+$B$25)^3+$E$6/(1+$B$25)^4+$F$6/(1+$B$25)^5)+(($F$6*(1+E$23)/($B$25-E$23))/(1+$B$25)^5)+Drivers!$C$32-Drivers!$C$31)/Drivers!$C$30</f>
        <v/>
      </c>
      <c r="F25" s="21">
        <f>(($B$6/(1+$B$25)^1+$C$6/(1+$B$25)^2+$D$6/(1+$B$25)^3+$E$6/(1+$B$25)^4+$F$6/(1+$B$25)^5)+(($F$6*(1+F$23)/($B$25-F$23))/(1+$B$25)^5)+Drivers!$C$32-Drivers!$C$31)/Drivers!$C$30</f>
        <v/>
      </c>
      <c r="G25" s="21">
        <f>(($B$6/(1+$B$25)^1+$C$6/(1+$B$25)^2+$D$6/(1+$B$25)^3+$E$6/(1+$B$25)^4+$F$6/(1+$B$25)^5)+(($F$6*(1+G$23)/($B$25-G$23))/(1+$B$25)^5)+Drivers!$C$32-Drivers!$C$31)/Drivers!$C$30</f>
        <v/>
      </c>
    </row>
    <row r="26">
      <c r="B26" s="22" t="n">
        <v>0.09</v>
      </c>
      <c r="C26" s="21">
        <f>(($B$6/(1+$B$26)^1+$C$6/(1+$B$26)^2+$D$6/(1+$B$26)^3+$E$6/(1+$B$26)^4+$F$6/(1+$B$26)^5)+(($F$6*(1+C$23)/($B$26-C$23))/(1+$B$26)^5)+Drivers!$C$32-Drivers!$C$31)/Drivers!$C$30</f>
        <v/>
      </c>
      <c r="D26" s="21">
        <f>(($B$6/(1+$B$26)^1+$C$6/(1+$B$26)^2+$D$6/(1+$B$26)^3+$E$6/(1+$B$26)^4+$F$6/(1+$B$26)^5)+(($F$6*(1+D$23)/($B$26-D$23))/(1+$B$26)^5)+Drivers!$C$32-Drivers!$C$31)/Drivers!$C$30</f>
        <v/>
      </c>
      <c r="E26" s="23">
        <f>(($B$6/(1+$B$26)^1+$C$6/(1+$B$26)^2+$D$6/(1+$B$26)^3+$E$6/(1+$B$26)^4+$F$6/(1+$B$26)^5)+(($F$6*(1+E$23)/($B$26-E$23))/(1+$B$26)^5)+Drivers!$C$32-Drivers!$C$31)/Drivers!$C$30</f>
        <v/>
      </c>
      <c r="F26" s="21">
        <f>(($B$6/(1+$B$26)^1+$C$6/(1+$B$26)^2+$D$6/(1+$B$26)^3+$E$6/(1+$B$26)^4+$F$6/(1+$B$26)^5)+(($F$6*(1+F$23)/($B$26-F$23))/(1+$B$26)^5)+Drivers!$C$32-Drivers!$C$31)/Drivers!$C$30</f>
        <v/>
      </c>
      <c r="G26" s="21">
        <f>(($B$6/(1+$B$26)^1+$C$6/(1+$B$26)^2+$D$6/(1+$B$26)^3+$E$6/(1+$B$26)^4+$F$6/(1+$B$26)^5)+(($F$6*(1+G$23)/($B$26-G$23))/(1+$B$26)^5)+Drivers!$C$32-Drivers!$C$31)/Drivers!$C$30</f>
        <v/>
      </c>
    </row>
    <row r="27">
      <c r="B27" s="22" t="n">
        <v>0.095</v>
      </c>
      <c r="C27" s="21">
        <f>(($B$6/(1+$B$27)^1+$C$6/(1+$B$27)^2+$D$6/(1+$B$27)^3+$E$6/(1+$B$27)^4+$F$6/(1+$B$27)^5)+(($F$6*(1+C$23)/($B$27-C$23))/(1+$B$27)^5)+Drivers!$C$32-Drivers!$C$31)/Drivers!$C$30</f>
        <v/>
      </c>
      <c r="D27" s="21">
        <f>(($B$6/(1+$B$27)^1+$C$6/(1+$B$27)^2+$D$6/(1+$B$27)^3+$E$6/(1+$B$27)^4+$F$6/(1+$B$27)^5)+(($F$6*(1+D$23)/($B$27-D$23))/(1+$B$27)^5)+Drivers!$C$32-Drivers!$C$31)/Drivers!$C$30</f>
        <v/>
      </c>
      <c r="E27" s="21">
        <f>(($B$6/(1+$B$27)^1+$C$6/(1+$B$27)^2+$D$6/(1+$B$27)^3+$E$6/(1+$B$27)^4+$F$6/(1+$B$27)^5)+(($F$6*(1+E$23)/($B$27-E$23))/(1+$B$27)^5)+Drivers!$C$32-Drivers!$C$31)/Drivers!$C$30</f>
        <v/>
      </c>
      <c r="F27" s="21">
        <f>(($B$6/(1+$B$27)^1+$C$6/(1+$B$27)^2+$D$6/(1+$B$27)^3+$E$6/(1+$B$27)^4+$F$6/(1+$B$27)^5)+(($F$6*(1+F$23)/($B$27-F$23))/(1+$B$27)^5)+Drivers!$C$32-Drivers!$C$31)/Drivers!$C$30</f>
        <v/>
      </c>
      <c r="G27" s="21">
        <f>(($B$6/(1+$B$27)^1+$C$6/(1+$B$27)^2+$D$6/(1+$B$27)^3+$E$6/(1+$B$27)^4+$F$6/(1+$B$27)^5)+(($F$6*(1+G$23)/($B$27-G$23))/(1+$B$27)^5)+Drivers!$C$32-Drivers!$C$31)/Drivers!$C$30</f>
        <v/>
      </c>
    </row>
    <row r="28">
      <c r="B28" s="22" t="n">
        <v>0.1</v>
      </c>
      <c r="C28" s="21">
        <f>(($B$6/(1+$B$28)^1+$C$6/(1+$B$28)^2+$D$6/(1+$B$28)^3+$E$6/(1+$B$28)^4+$F$6/(1+$B$28)^5)+(($F$6*(1+C$23)/($B$28-C$23))/(1+$B$28)^5)+Drivers!$C$32-Drivers!$C$31)/Drivers!$C$30</f>
        <v/>
      </c>
      <c r="D28" s="21">
        <f>(($B$6/(1+$B$28)^1+$C$6/(1+$B$28)^2+$D$6/(1+$B$28)^3+$E$6/(1+$B$28)^4+$F$6/(1+$B$28)^5)+(($F$6*(1+D$23)/($B$28-D$23))/(1+$B$28)^5)+Drivers!$C$32-Drivers!$C$31)/Drivers!$C$30</f>
        <v/>
      </c>
      <c r="E28" s="21">
        <f>(($B$6/(1+$B$28)^1+$C$6/(1+$B$28)^2+$D$6/(1+$B$28)^3+$E$6/(1+$B$28)^4+$F$6/(1+$B$28)^5)+(($F$6*(1+E$23)/($B$28-E$23))/(1+$B$28)^5)+Drivers!$C$32-Drivers!$C$31)/Drivers!$C$30</f>
        <v/>
      </c>
      <c r="F28" s="21">
        <f>(($B$6/(1+$B$28)^1+$C$6/(1+$B$28)^2+$D$6/(1+$B$28)^3+$E$6/(1+$B$28)^4+$F$6/(1+$B$28)^5)+(($F$6*(1+F$23)/($B$28-F$23))/(1+$B$28)^5)+Drivers!$C$32-Drivers!$C$31)/Drivers!$C$30</f>
        <v/>
      </c>
      <c r="G28" s="21">
        <f>(($B$6/(1+$B$28)^1+$C$6/(1+$B$28)^2+$D$6/(1+$B$28)^3+$E$6/(1+$B$28)^4+$F$6/(1+$B$28)^5)+(($F$6*(1+G$23)/($B$28-G$23))/(1+$B$28)^5)+Drivers!$C$32-Drivers!$C$31)/Drivers!$C$30</f>
        <v/>
      </c>
    </row>
    <row r="30">
      <c r="A30" s="3" t="inlineStr">
        <is>
          <t>Center cell (WACC 9.0% / g 3.0%) = base case; cross-check vs C18 implied per share.</t>
        </is>
      </c>
    </row>
  </sheetData>
  <mergeCells count="3">
    <mergeCell ref="A30:H30"/>
    <mergeCell ref="A22:H2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GOOG MODEL — METHODOLOGY &amp; CAVEATS</t>
        </is>
      </c>
    </row>
    <row r="3">
      <c r="A3" s="18" t="inlineStr">
        <is>
          <t>Methodology</t>
        </is>
      </c>
    </row>
    <row r="4" ht="16" customHeight="1">
      <c r="A4" s="24" t="inlineStr">
        <is>
          <t>Integrated 3-statement model feeding unlevered DCF. Drivers tab drives everything.</t>
        </is>
      </c>
    </row>
    <row r="5" ht="16" customHeight="1">
      <c r="A5" s="24" t="inlineStr">
        <is>
          <t>Revenue split into Google Services, Google Cloud, Other Bets — with explicit segment margins.</t>
        </is>
      </c>
    </row>
    <row r="6" ht="16" customHeight="1">
      <c r="A6" s="24" t="inlineStr">
        <is>
          <t>Cloud is the marginal-mix story: 5%(23) → 14%(24) → 24%(25) → 30%(26E) → 36%(30E) op margin.</t>
        </is>
      </c>
    </row>
    <row r="7" ht="16" customHeight="1">
      <c r="A7" s="24" t="inlineStr">
        <is>
          <t>Capex modeled at the announced $180-190B FY26 ramp (back-end loaded per Q1 $22.4B actual),</t>
        </is>
      </c>
    </row>
    <row r="8" ht="16" customHeight="1">
      <c r="A8" s="24" t="inlineStr">
        <is>
          <t>tapering to ~$150-200B/yr through FY30 as build-out phase moderates.</t>
        </is>
      </c>
    </row>
    <row r="10">
      <c r="A10" s="18" t="inlineStr">
        <is>
          <t>Base case stance</t>
        </is>
      </c>
    </row>
    <row r="11" ht="16" customHeight="1">
      <c r="A11" s="24" t="inlineStr">
        <is>
          <t>GOOG is the unusual case: AI capex is dilutive near-term, but Cloud margin expansion + scale</t>
        </is>
      </c>
    </row>
    <row r="12" ht="16" customHeight="1">
      <c r="A12" s="24" t="inlineStr">
        <is>
          <t>more than offsets. Base case: Cloud margin reaches 30% in FY26 (vs Q1 26 actual 32.9%),</t>
        </is>
      </c>
    </row>
    <row r="13" ht="16" customHeight="1">
      <c r="A13" s="24" t="inlineStr">
        <is>
          <t>tapers up to 36% by FY30. WACC ~9.0%, terminal g 3.0%.</t>
        </is>
      </c>
    </row>
    <row r="14" ht="16" customHeight="1">
      <c r="A14" s="24" t="inlineStr">
        <is>
          <t>Headwinds priced: ~$85B June 2026 equity raise (Berkshire pp + ATM); DOJ search remedies</t>
        </is>
      </c>
    </row>
    <row r="15" ht="16" customHeight="1">
      <c r="A15" s="24" t="inlineStr">
        <is>
          <t>(no Chrome divestiture, but default-payment restrictions); ~$20B TAC-to-Apple at risk.</t>
        </is>
      </c>
    </row>
    <row r="17">
      <c r="A17" s="18" t="inlineStr">
        <is>
          <t>Data sources &amp; caveats</t>
        </is>
      </c>
    </row>
    <row r="18" ht="16" customHeight="1">
      <c r="A18" s="24" t="inlineStr">
        <is>
          <t>Alphabet 10-K FY25 (Mar 2026), 10-Q Q1 CY26 (Apr 2026); FY23-24 historicals from filings.</t>
        </is>
      </c>
    </row>
    <row r="19" ht="16" customHeight="1">
      <c r="A19" s="24" t="inlineStr">
        <is>
          <t>Cloud trajectory cross-checked across Q3 25 (+34%, 23.7%), Q4 25 (+48%), Q1 26 (+63%, 32.9%).</t>
        </is>
      </c>
    </row>
    <row r="20" ht="16" customHeight="1">
      <c r="A20" s="24" t="inlineStr">
        <is>
          <t>MCP terminal connectors NOT configured; all data from SEC filings + reputable aggregators.</t>
        </is>
      </c>
    </row>
    <row r="21" ht="16" customHeight="1">
      <c r="A21" s="24" t="inlineStr">
        <is>
          <t>Other Bets revenue largely Waymo; segment loss/revenue ratios are [E] derived.</t>
        </is>
      </c>
    </row>
    <row r="22" ht="16" customHeight="1">
      <c r="A22" s="24" t="inlineStr">
        <is>
          <t>Net interest treatment: historicals show net interest INCOME (large cash); forwards model</t>
        </is>
      </c>
    </row>
    <row r="23" ht="16" customHeight="1">
      <c r="A23" s="24" t="inlineStr">
        <is>
          <t>modest drag as cash depletes via capex.</t>
        </is>
      </c>
    </row>
    <row r="24" ht="16" customHeight="1">
      <c r="A24" s="24" t="inlineStr">
        <is>
          <t>Research / decision-framing only — NOT investment advice.</t>
        </is>
      </c>
    </row>
  </sheetData>
  <mergeCells count="21">
    <mergeCell ref="A24:E24"/>
    <mergeCell ref="A15:E15"/>
    <mergeCell ref="A11:E11"/>
    <mergeCell ref="A1:E1"/>
    <mergeCell ref="A6:E6"/>
    <mergeCell ref="A7:E7"/>
    <mergeCell ref="A18:E18"/>
    <mergeCell ref="A3:E3"/>
    <mergeCell ref="A21:E21"/>
    <mergeCell ref="A12:E12"/>
    <mergeCell ref="A5:E5"/>
    <mergeCell ref="A23:E23"/>
    <mergeCell ref="A14:E14"/>
    <mergeCell ref="A8:E8"/>
    <mergeCell ref="A22:E22"/>
    <mergeCell ref="A17:E17"/>
    <mergeCell ref="A4:E4"/>
    <mergeCell ref="A20:E20"/>
    <mergeCell ref="A10:E10"/>
    <mergeCell ref="A19:E19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2026-06-04T06:18:21Z</dcterms:created>
  <dcterms:modified xmlns:dcterms="http://purl.org/dc/terms/" xmlns:xsi="http://www.w3.org/2001/XMLSchema-instance" xsi:type="dcterms:W3CDTF">2026-06-04T06:18:21Z</dcterms:modified>
</cp:coreProperties>
</file>
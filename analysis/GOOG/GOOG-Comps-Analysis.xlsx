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Operating Metric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b val="1"/>
      <sz val="12"/>
    </font>
    <font>
      <name val="Times New Roman"/>
      <i val="1"/>
      <color rgb="00595959"/>
      <sz val="10"/>
    </font>
    <font>
      <name val="Times New Roman"/>
      <color rgb="00000000"/>
      <sz val="11"/>
    </font>
    <font>
      <name val="Times New Roman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  <xf numFmtId="3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2" fillId="4" borderId="0" applyAlignment="1" pivotButton="0" quotePrefix="0" xfId="0">
      <alignment horizontal="center" vertical="center"/>
    </xf>
    <xf numFmtId="0" fontId="2" fillId="3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GOOG comps</author>
  </authors>
  <commentList>
    <comment ref="C7" authorId="0" shapeId="0">
      <text>
        <t>GOOGL ~$357.73/sh x ~12.12B sh = ~$4.34T (June 3, 2026)</t>
      </text>
    </comment>
    <comment ref="D7" authorId="0" shapeId="0">
      <text>
        <t>Net cash ~$80B: cash+sec $126.8B - debt $46.5B (Q1 26)</t>
      </text>
    </comment>
    <comment ref="E7" authorId="0" shapeId="0">
      <text>
        <t>[E] TTM revenue ~$425B (FY25 $402.8B + Q1 26 step-up)</t>
      </text>
    </comment>
    <comment ref="F7" authorId="0" shapeId="0">
      <text>
        <t>Q1 CY26 revenue +22% YoY (+19% cc)</t>
      </text>
    </comment>
    <comment ref="G7" authorId="0" shapeId="0">
      <text>
        <t>[E] GAAP gross margin ~58%</t>
      </text>
    </comment>
    <comment ref="H7" authorId="0" shapeId="0">
      <text>
        <t>[E] TTM EBITDA ~$155B (NI + interest + tax + D&amp;A)</t>
      </text>
    </comment>
    <comment ref="I7" authorId="0" shapeId="0">
      <text>
        <t>[E] TTM NI ~$137B (includes Anthropic mark-to-market gains)</t>
      </text>
    </comment>
    <comment ref="J7" authorId="0" shapeId="0">
      <text>
        <t>[E] Forward P/E ~24x (consensus FY26-27)</t>
      </text>
    </comment>
    <comment ref="C8" authorId="0" shapeId="0">
      <text>
        <t>META ~$1.55T (~$1.50-1.61T spread across sources, late May/early Jun 2026)</t>
      </text>
    </comment>
    <comment ref="D8" authorId="0" shapeId="0">
      <text>
        <t>[E] Net cash ~$40B (large cash balance, modest debt)</t>
      </text>
    </comment>
    <comment ref="E8" authorId="0" shapeId="0">
      <text>
        <t>TTM revenue ~$223B (multiples.vc)</t>
      </text>
    </comment>
    <comment ref="F8" authorId="0" shapeId="0">
      <text>
        <t>Q1 CY26 revenue +33% YoY</t>
      </text>
    </comment>
    <comment ref="G8" authorId="0" shapeId="0">
      <text>
        <t>[E] Gross margin ~82%</t>
      </text>
    </comment>
    <comment ref="H8" authorId="0" shapeId="0">
      <text>
        <t>TTM EBITDA ~$110B (~51% margin)</t>
      </text>
    </comment>
    <comment ref="I8" authorId="0" shapeId="0">
      <text>
        <t>TTM NI ~$71B</t>
      </text>
    </comment>
    <comment ref="J8" authorId="0" shapeId="0">
      <text>
        <t>Forward P/E ~18.2x</t>
      </text>
    </comment>
    <comment ref="C9" authorId="0" shapeId="0">
      <text>
        <t>MSFT ~$4.72T (StockAnalysis, June 1 2026)</t>
      </text>
    </comment>
    <comment ref="D9" authorId="0" shapeId="0">
      <text>
        <t>[E] Slight net cash; debt ~$50B vs cash+inv ~$80B</t>
      </text>
    </comment>
    <comment ref="E9" authorId="0" shapeId="0">
      <text>
        <t>TTM revenue ~$318.3B</t>
      </text>
    </comment>
    <comment ref="F9" authorId="0" shapeId="0">
      <text>
        <t>Fiscal Q3 FY26 (CQ1) revenue +18% YoY; Azure +40%</t>
      </text>
    </comment>
    <comment ref="G9" authorId="0" shapeId="0">
      <text>
        <t>[E] Gross margin ~68% (down ~70bps YoY on AI capex depreciation)</t>
      </text>
    </comment>
    <comment ref="H9" authorId="0" shapeId="0">
      <text>
        <t>[E] TTM EBITDA ~$274B (implied from 17.1x EV/EBITDA)</t>
      </text>
    </comment>
    <comment ref="I9" authorId="0" shapeId="0">
      <text>
        <t>TTM NI ~$125.2B</t>
      </text>
    </comment>
    <comment ref="J9" authorId="0" shapeId="0">
      <text>
        <t>Forward P/E ~22.6x</t>
      </text>
    </comment>
    <comment ref="C10" authorId="0" shapeId="0">
      <text>
        <t>AMZN ~$2.7T mkt cap (June 2-3, 2026)</t>
      </text>
    </comment>
    <comment ref="D10" authorId="0" shapeId="0">
      <text>
        <t>[E] Net debt ~$66B (debt $153B - cash $87B, excl. mktable sec)</t>
      </text>
    </comment>
    <comment ref="E10" authorId="0" shapeId="0">
      <text>
        <t>TTM revenue ~$742.8B</t>
      </text>
    </comment>
    <comment ref="F10" authorId="0" shapeId="0">
      <text>
        <t>Q1 CY26 revenue +17% YoY; AWS +28% to $37.6B</t>
      </text>
    </comment>
    <comment ref="G10" authorId="0" shapeId="0">
      <text>
        <t>TTM gross margin ~50.3%</t>
      </text>
    </comment>
    <comment ref="H10" authorId="0" shapeId="0">
      <text>
        <t>TTM EBITDA ~$145.7B</t>
      </text>
    </comment>
    <comment ref="I10" authorId="0" shapeId="0">
      <text>
        <t>[E] TTM NI ~$91B (Q1 incl $16.8B Anthropic gain)</t>
      </text>
    </comment>
    <comment ref="J10" authorId="0" shapeId="0">
      <text>
        <t>[E] Forward P/E ~30x (consensus)</t>
      </text>
    </comment>
    <comment ref="C11" authorId="0" shapeId="0">
      <text>
        <t>NFLX ~$400B (range ~$343-410B; mlq.ai most recent)</t>
      </text>
    </comment>
    <comment ref="D11" authorId="0" shapeId="0">
      <text>
        <t>Net debt ~$4.45B: debt $14.36B - cash+inv $12.30B</t>
      </text>
    </comment>
    <comment ref="E11" authorId="0" shapeId="0">
      <text>
        <t>TTM revenue ~$46.9B</t>
      </text>
    </comment>
    <comment ref="F11" authorId="0" shapeId="0">
      <text>
        <t>Q1 CY26 revenue +16.2% YoY</t>
      </text>
    </comment>
    <comment ref="G11" authorId="0" shapeId="0">
      <text>
        <t>Gross margin ~52% Q1</t>
      </text>
    </comment>
    <comment ref="H11" authorId="0" shapeId="0">
      <text>
        <t>[E] TTM EBITDA ~$31.1B (~66%)</t>
      </text>
    </comment>
    <comment ref="I11" authorId="0" shapeId="0">
      <text>
        <t>[E] TTM NI ~$11B</t>
      </text>
    </comment>
    <comment ref="J11" authorId="0" shapeId="0">
      <text>
        <t>[E] Forward P/E ~26x</t>
      </text>
    </comment>
    <comment ref="C12" authorId="0" shapeId="0">
      <text>
        <t>TTD ~$10.9B (June 1, 2026)</t>
      </text>
    </comment>
    <comment ref="D12" authorId="0" shapeId="0">
      <text>
        <t>Net cash ~$1.7B (no debt)</t>
      </text>
    </comment>
    <comment ref="E12" authorId="0" shapeId="0">
      <text>
        <t>TTM revenue ~$2.96B</t>
      </text>
    </comment>
    <comment ref="F12" authorId="0" shapeId="0">
      <text>
        <t>Q1 CY26 revenue +12% YoY (slowing)</t>
      </text>
    </comment>
    <comment ref="G12" authorId="0" shapeId="0">
      <text>
        <t>Gross margin ~73.6% TTM</t>
      </text>
    </comment>
    <comment ref="H12" authorId="0" shapeId="0">
      <text>
        <t>[E] TTM EBITDA ~$0.9B</t>
      </text>
    </comment>
    <comment ref="I12" authorId="0" shapeId="0">
      <text>
        <t>[E] TTM NI ~$435M</t>
      </text>
    </comment>
    <comment ref="J12" authorId="0" shapeId="0">
      <text>
        <t>[E] Forward P/E ~11x (compressed on deceleration)</t>
      </text>
    </comment>
    <comment ref="C13" authorId="0" shapeId="0">
      <text>
        <t>RDDT ~$30B (range $26.7-33.9B across May-Jun)</t>
      </text>
    </comment>
    <comment ref="D13" authorId="0" shapeId="0">
      <text>
        <t>[E] Net cash ~$2B (no significant debt)</t>
      </text>
    </comment>
    <comment ref="E13" authorId="0" shapeId="0">
      <text>
        <t>TTM revenue ~$2.2B</t>
      </text>
    </comment>
    <comment ref="F13" authorId="0" shapeId="0">
      <text>
        <t>Q1 CY26 revenue +69% YoY; ads +74%</t>
      </text>
    </comment>
    <comment ref="G13" authorId="0" shapeId="0">
      <text>
        <t>Gross margin ~91.5%</t>
      </text>
    </comment>
    <comment ref="H13" authorId="0" shapeId="0">
      <text>
        <t>[E] TTM adj EBITDA ~$545M</t>
      </text>
    </comment>
    <comment ref="I13" authorId="0" shapeId="0">
      <text>
        <t>[E] FY25 NI ~$530M (trending higher Q1: $204M)</t>
      </text>
    </comment>
    <comment ref="J13" authorId="0" shapeId="0">
      <text>
        <t>[E] Forward P/E ~33x (deceleration assumed)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3" customWidth="1" min="3" max="3"/>
    <col width="11" customWidth="1" min="4" max="4"/>
    <col width="14" customWidth="1" min="5" max="5"/>
    <col width="13" customWidth="1" min="6" max="6"/>
    <col width="14" customWidth="1" min="7" max="7"/>
    <col width="14" customWidth="1" min="8" max="8"/>
    <col width="16" customWidth="1" min="9" max="9"/>
    <col width="10" customWidth="1" min="10" max="10"/>
    <col width="20" customWidth="1" min="11" max="11"/>
  </cols>
  <sheetData>
    <row r="1">
      <c r="A1" s="1" t="inlineStr">
        <is>
          <t>MEGA-CAP TECH — COMPARABLE COMPANY ANALYSIS (GOOG target)</t>
        </is>
      </c>
    </row>
    <row r="2">
      <c r="A2" s="2" t="inlineStr">
        <is>
          <t>Alphabet (GOOG) • Meta Platforms (META) • Microsoft (MSFT) • Amazon (AMZN) • Netflix (NFLX) • The Trade Desk (TTD) • Reddit (RDDT)</t>
        </is>
      </c>
    </row>
    <row r="3">
      <c r="A3" s="3" t="inlineStr">
        <is>
          <t>As of June 3, 2026 | $M except ratios | Stats over the 4 mega-cap peers (META, MSFT, AMZN, NFLX); GOOG=target; TTD, RDDT = ads-pure memo</t>
        </is>
      </c>
    </row>
    <row r="5">
      <c r="A5" s="1" t="inlineStr">
        <is>
          <t>RAW INPUTS — cell comments cite source / assumption</t>
        </is>
      </c>
    </row>
    <row r="6">
      <c r="A6" s="4" t="inlineStr">
        <is>
          <t>Company</t>
        </is>
      </c>
      <c r="B6" s="4" t="inlineStr">
        <is>
          <t>Ticker</t>
        </is>
      </c>
      <c r="C6" s="4" t="inlineStr">
        <is>
          <t>Mkt Cap</t>
        </is>
      </c>
      <c r="D6" s="4" t="inlineStr">
        <is>
          <t>Net Debt</t>
        </is>
      </c>
      <c r="E6" s="4" t="inlineStr">
        <is>
          <t>Revenue (TTM)</t>
        </is>
      </c>
      <c r="F6" s="4" t="inlineStr">
        <is>
          <t>Rev Growth %</t>
        </is>
      </c>
      <c r="G6" s="4" t="inlineStr">
        <is>
          <t>Gross Margin %</t>
        </is>
      </c>
      <c r="H6" s="4" t="inlineStr">
        <is>
          <t>EBITDA (TTM)</t>
        </is>
      </c>
      <c r="I6" s="4" t="inlineStr">
        <is>
          <t>Net Income (TTM)</t>
        </is>
      </c>
      <c r="J6" s="4" t="inlineStr">
        <is>
          <t>Fwd P/E</t>
        </is>
      </c>
      <c r="K6" s="4" t="inlineStr">
        <is>
          <t>Role</t>
        </is>
      </c>
    </row>
    <row r="7">
      <c r="A7" s="5" t="inlineStr">
        <is>
          <t>Alphabet</t>
        </is>
      </c>
      <c r="B7" s="6" t="inlineStr">
        <is>
          <t>GOOG</t>
        </is>
      </c>
      <c r="C7" s="7" t="n">
        <v>4335000</v>
      </c>
      <c r="D7" s="7" t="n">
        <v>-80300</v>
      </c>
      <c r="E7" s="7" t="n">
        <v>425100</v>
      </c>
      <c r="F7" s="8" t="n">
        <v>0.22</v>
      </c>
      <c r="G7" s="8" t="n">
        <v>0.58</v>
      </c>
      <c r="H7" s="7" t="n">
        <v>155000</v>
      </c>
      <c r="I7" s="7" t="n">
        <v>137000</v>
      </c>
      <c r="J7" s="9" t="n">
        <v>24</v>
      </c>
      <c r="K7" s="10" t="inlineStr">
        <is>
          <t>TARGET</t>
        </is>
      </c>
    </row>
    <row r="8">
      <c r="A8" s="5" t="inlineStr">
        <is>
          <t>Meta Platforms</t>
        </is>
      </c>
      <c r="B8" s="6" t="inlineStr">
        <is>
          <t>META</t>
        </is>
      </c>
      <c r="C8" s="7" t="n">
        <v>1550000</v>
      </c>
      <c r="D8" s="7" t="n">
        <v>-40000</v>
      </c>
      <c r="E8" s="7" t="n">
        <v>223000</v>
      </c>
      <c r="F8" s="8" t="n">
        <v>0.33</v>
      </c>
      <c r="G8" s="8" t="n">
        <v>0.82</v>
      </c>
      <c r="H8" s="7" t="n">
        <v>110000</v>
      </c>
      <c r="I8" s="7" t="n">
        <v>71000</v>
      </c>
      <c r="J8" s="9" t="n">
        <v>18.2</v>
      </c>
      <c r="K8" s="10" t="inlineStr">
        <is>
          <t>MEGA-CAP</t>
        </is>
      </c>
    </row>
    <row r="9">
      <c r="A9" s="5" t="inlineStr">
        <is>
          <t>Microsoft</t>
        </is>
      </c>
      <c r="B9" s="6" t="inlineStr">
        <is>
          <t>MSFT</t>
        </is>
      </c>
      <c r="C9" s="7" t="n">
        <v>4720000</v>
      </c>
      <c r="D9" s="7" t="n">
        <v>-30000</v>
      </c>
      <c r="E9" s="7" t="n">
        <v>318300</v>
      </c>
      <c r="F9" s="8" t="n">
        <v>0.18</v>
      </c>
      <c r="G9" s="8" t="n">
        <v>0.68</v>
      </c>
      <c r="H9" s="7" t="n">
        <v>274000</v>
      </c>
      <c r="I9" s="7" t="n">
        <v>125200</v>
      </c>
      <c r="J9" s="9" t="n">
        <v>22.6</v>
      </c>
      <c r="K9" s="10" t="inlineStr">
        <is>
          <t>MEGA-CAP</t>
        </is>
      </c>
    </row>
    <row r="10">
      <c r="A10" s="5" t="inlineStr">
        <is>
          <t>Amazon</t>
        </is>
      </c>
      <c r="B10" s="6" t="inlineStr">
        <is>
          <t>AMZN</t>
        </is>
      </c>
      <c r="C10" s="7" t="n">
        <v>2700000</v>
      </c>
      <c r="D10" s="7" t="n">
        <v>66000</v>
      </c>
      <c r="E10" s="7" t="n">
        <v>742800</v>
      </c>
      <c r="F10" s="8" t="n">
        <v>0.17</v>
      </c>
      <c r="G10" s="8" t="n">
        <v>0.5</v>
      </c>
      <c r="H10" s="7" t="n">
        <v>145700</v>
      </c>
      <c r="I10" s="7" t="n">
        <v>91000</v>
      </c>
      <c r="J10" s="9" t="n">
        <v>30</v>
      </c>
      <c r="K10" s="10" t="inlineStr">
        <is>
          <t>MEGA-CAP</t>
        </is>
      </c>
    </row>
    <row r="11">
      <c r="A11" s="5" t="inlineStr">
        <is>
          <t>Netflix</t>
        </is>
      </c>
      <c r="B11" s="6" t="inlineStr">
        <is>
          <t>NFLX</t>
        </is>
      </c>
      <c r="C11" s="7" t="n">
        <v>400000</v>
      </c>
      <c r="D11" s="7" t="n">
        <v>4450</v>
      </c>
      <c r="E11" s="7" t="n">
        <v>46900</v>
      </c>
      <c r="F11" s="8" t="n">
        <v>0.16</v>
      </c>
      <c r="G11" s="8" t="n">
        <v>0.52</v>
      </c>
      <c r="H11" s="7" t="n">
        <v>31100</v>
      </c>
      <c r="I11" s="7" t="n">
        <v>11000</v>
      </c>
      <c r="J11" s="9" t="n">
        <v>26</v>
      </c>
      <c r="K11" s="10" t="inlineStr">
        <is>
          <t>MEGA-CAP</t>
        </is>
      </c>
    </row>
    <row r="12">
      <c r="A12" s="5" t="inlineStr">
        <is>
          <t>The Trade Desk</t>
        </is>
      </c>
      <c r="B12" s="6" t="inlineStr">
        <is>
          <t>TTD</t>
        </is>
      </c>
      <c r="C12" s="7" t="n">
        <v>10900</v>
      </c>
      <c r="D12" s="7" t="n">
        <v>-1700</v>
      </c>
      <c r="E12" s="7" t="n">
        <v>2960</v>
      </c>
      <c r="F12" s="8" t="n">
        <v>0.12</v>
      </c>
      <c r="G12" s="8" t="n">
        <v>0.736</v>
      </c>
      <c r="H12" s="7" t="n">
        <v>900</v>
      </c>
      <c r="I12" s="7" t="n">
        <v>435</v>
      </c>
      <c r="J12" s="9" t="n">
        <v>11</v>
      </c>
      <c r="K12" s="10" t="inlineStr">
        <is>
          <t>ADS-PURE (memo)</t>
        </is>
      </c>
    </row>
    <row r="13">
      <c r="A13" s="5" t="inlineStr">
        <is>
          <t>Reddit</t>
        </is>
      </c>
      <c r="B13" s="6" t="inlineStr">
        <is>
          <t>RDDT</t>
        </is>
      </c>
      <c r="C13" s="7" t="n">
        <v>30000</v>
      </c>
      <c r="D13" s="7" t="n">
        <v>-2000</v>
      </c>
      <c r="E13" s="7" t="n">
        <v>2200</v>
      </c>
      <c r="F13" s="8" t="n">
        <v>0.6899999999999999</v>
      </c>
      <c r="G13" s="8" t="n">
        <v>0.915</v>
      </c>
      <c r="H13" s="7" t="n">
        <v>545</v>
      </c>
      <c r="I13" s="7" t="n">
        <v>530</v>
      </c>
      <c r="J13" s="9" t="n">
        <v>33</v>
      </c>
      <c r="K13" s="10" t="inlineStr">
        <is>
          <t>ADS-PURE (memo)</t>
        </is>
      </c>
    </row>
  </sheetData>
  <mergeCells count="4">
    <mergeCell ref="A2:K2"/>
    <mergeCell ref="A1:K1"/>
    <mergeCell ref="A5:K5"/>
    <mergeCell ref="A3:K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OPERATING METRICS</t>
        </is>
      </c>
    </row>
    <row r="6">
      <c r="A6" s="4" t="inlineStr">
        <is>
          <t>Company</t>
        </is>
      </c>
      <c r="B6" s="4" t="inlineStr">
        <is>
          <t>Revenue (TTM)</t>
        </is>
      </c>
      <c r="C6" s="4" t="inlineStr">
        <is>
          <t>Rev Growth (YoY)</t>
        </is>
      </c>
      <c r="D6" s="4" t="inlineStr">
        <is>
          <t>Gross Margin</t>
        </is>
      </c>
      <c r="E6" s="4" t="inlineStr">
        <is>
          <t>EBITDA (TTM)</t>
        </is>
      </c>
      <c r="F6" s="4" t="inlineStr">
        <is>
          <t>EBITDA Margin</t>
        </is>
      </c>
    </row>
    <row r="7">
      <c r="A7" s="5" t="inlineStr">
        <is>
          <t>Alphabet</t>
        </is>
      </c>
      <c r="B7" s="11">
        <f>Inputs!E7</f>
        <v/>
      </c>
      <c r="C7" s="12">
        <f>Inputs!F7</f>
        <v/>
      </c>
      <c r="D7" s="12">
        <f>Inputs!G7</f>
        <v/>
      </c>
      <c r="E7" s="11">
        <f>Inputs!H7</f>
        <v/>
      </c>
      <c r="F7" s="12">
        <f>Inputs!H7/Inputs!E7</f>
        <v/>
      </c>
    </row>
    <row r="8">
      <c r="A8" s="5" t="inlineStr">
        <is>
          <t>Meta Platforms</t>
        </is>
      </c>
      <c r="B8" s="11">
        <f>Inputs!E8</f>
        <v/>
      </c>
      <c r="C8" s="12">
        <f>Inputs!F8</f>
        <v/>
      </c>
      <c r="D8" s="12">
        <f>Inputs!G8</f>
        <v/>
      </c>
      <c r="E8" s="11">
        <f>Inputs!H8</f>
        <v/>
      </c>
      <c r="F8" s="12">
        <f>Inputs!H8/Inputs!E8</f>
        <v/>
      </c>
    </row>
    <row r="9">
      <c r="A9" s="5" t="inlineStr">
        <is>
          <t>Microsoft</t>
        </is>
      </c>
      <c r="B9" s="11">
        <f>Inputs!E9</f>
        <v/>
      </c>
      <c r="C9" s="12">
        <f>Inputs!F9</f>
        <v/>
      </c>
      <c r="D9" s="12">
        <f>Inputs!G9</f>
        <v/>
      </c>
      <c r="E9" s="11">
        <f>Inputs!H9</f>
        <v/>
      </c>
      <c r="F9" s="12">
        <f>Inputs!H9/Inputs!E9</f>
        <v/>
      </c>
    </row>
    <row r="10">
      <c r="A10" s="5" t="inlineStr">
        <is>
          <t>Amazon</t>
        </is>
      </c>
      <c r="B10" s="11">
        <f>Inputs!E10</f>
        <v/>
      </c>
      <c r="C10" s="12">
        <f>Inputs!F10</f>
        <v/>
      </c>
      <c r="D10" s="12">
        <f>Inputs!G10</f>
        <v/>
      </c>
      <c r="E10" s="11">
        <f>Inputs!H10</f>
        <v/>
      </c>
      <c r="F10" s="12">
        <f>Inputs!H10/Inputs!E10</f>
        <v/>
      </c>
    </row>
    <row r="11">
      <c r="A11" s="5" t="inlineStr">
        <is>
          <t>Netflix</t>
        </is>
      </c>
      <c r="B11" s="11">
        <f>Inputs!E11</f>
        <v/>
      </c>
      <c r="C11" s="12">
        <f>Inputs!F11</f>
        <v/>
      </c>
      <c r="D11" s="12">
        <f>Inputs!G11</f>
        <v/>
      </c>
      <c r="E11" s="11">
        <f>Inputs!H11</f>
        <v/>
      </c>
      <c r="F11" s="12">
        <f>Inputs!H11/Inputs!E11</f>
        <v/>
      </c>
    </row>
    <row r="12">
      <c r="A12" s="5" t="inlineStr">
        <is>
          <t>The Trade Desk</t>
        </is>
      </c>
      <c r="B12" s="11">
        <f>Inputs!E12</f>
        <v/>
      </c>
      <c r="C12" s="12">
        <f>Inputs!F12</f>
        <v/>
      </c>
      <c r="D12" s="12">
        <f>Inputs!G12</f>
        <v/>
      </c>
      <c r="E12" s="11">
        <f>Inputs!H12</f>
        <v/>
      </c>
      <c r="F12" s="12">
        <f>Inputs!H12/Inputs!E12</f>
        <v/>
      </c>
    </row>
    <row r="13">
      <c r="A13" s="5" t="inlineStr">
        <is>
          <t>Reddit</t>
        </is>
      </c>
      <c r="B13" s="11">
        <f>Inputs!E13</f>
        <v/>
      </c>
      <c r="C13" s="12">
        <f>Inputs!F13</f>
        <v/>
      </c>
      <c r="D13" s="12">
        <f>Inputs!G13</f>
        <v/>
      </c>
      <c r="E13" s="11">
        <f>Inputs!H13</f>
        <v/>
      </c>
      <c r="F13" s="12">
        <f>Inputs!H13/Inputs!E13</f>
        <v/>
      </c>
    </row>
    <row r="15">
      <c r="A15" s="13" t="inlineStr">
        <is>
          <t>Maximum</t>
        </is>
      </c>
      <c r="B15" s="14" t="n"/>
      <c r="C15" s="15">
        <f>MAX(C8:C11)</f>
        <v/>
      </c>
      <c r="D15" s="15">
        <f>MAX(D8:D11)</f>
        <v/>
      </c>
      <c r="E15" s="14" t="n"/>
      <c r="F15" s="15">
        <f>MAX(F8:F11)</f>
        <v/>
      </c>
    </row>
    <row r="16">
      <c r="A16" s="13" t="inlineStr">
        <is>
          <t>75th Percentile</t>
        </is>
      </c>
      <c r="B16" s="14" t="n"/>
      <c r="C16" s="15">
        <f>QUARTILE(C8:C11,3)</f>
        <v/>
      </c>
      <c r="D16" s="15">
        <f>QUARTILE(D8:D11,3)</f>
        <v/>
      </c>
      <c r="E16" s="14" t="n"/>
      <c r="F16" s="15">
        <f>QUARTILE(F8:F11,3)</f>
        <v/>
      </c>
    </row>
    <row r="17">
      <c r="A17" s="13" t="inlineStr">
        <is>
          <t>Median</t>
        </is>
      </c>
      <c r="B17" s="14" t="n"/>
      <c r="C17" s="15">
        <f>MEDIAN(C8:C11)</f>
        <v/>
      </c>
      <c r="D17" s="15">
        <f>MEDIAN(D8:D11)</f>
        <v/>
      </c>
      <c r="E17" s="14" t="n"/>
      <c r="F17" s="15">
        <f>MEDIAN(F8:F11)</f>
        <v/>
      </c>
    </row>
    <row r="18">
      <c r="A18" s="13" t="inlineStr">
        <is>
          <t>25th Percentile</t>
        </is>
      </c>
      <c r="B18" s="14" t="n"/>
      <c r="C18" s="15">
        <f>QUARTILE(C8:C11,1)</f>
        <v/>
      </c>
      <c r="D18" s="15">
        <f>QUARTILE(D8:D11,1)</f>
        <v/>
      </c>
      <c r="E18" s="14" t="n"/>
      <c r="F18" s="15">
        <f>QUARTILE(F8:F11,1)</f>
        <v/>
      </c>
    </row>
    <row r="19">
      <c r="A19" s="13" t="inlineStr">
        <is>
          <t>Minimum</t>
        </is>
      </c>
      <c r="B19" s="14" t="n"/>
      <c r="C19" s="15">
        <f>MIN(C8:C11)</f>
        <v/>
      </c>
      <c r="D19" s="15">
        <f>MIN(D8:D11)</f>
        <v/>
      </c>
      <c r="E19" s="14" t="n"/>
      <c r="F19" s="15">
        <f>MIN(F8:F11)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1" customWidth="1" min="4" max="4"/>
    <col width="13" customWidth="1" min="5" max="5"/>
    <col width="12" customWidth="1" min="6" max="6"/>
    <col width="11" customWidth="1" min="7" max="7"/>
    <col width="56" customWidth="1" min="8" max="8"/>
  </cols>
  <sheetData>
    <row r="1">
      <c r="A1" s="1" t="inlineStr">
        <is>
          <t>VALUATION MULTIPLES</t>
        </is>
      </c>
    </row>
    <row r="2">
      <c r="A2" s="3" t="inlineStr">
        <is>
          <t>EV = Mkt Cap + Net Debt (negative net debt = net cash subtracts from EV). NM if EBITDA/NI &lt;= 0.</t>
        </is>
      </c>
    </row>
    <row r="6">
      <c r="A6" s="4" t="inlineStr">
        <is>
          <t>Company</t>
        </is>
      </c>
      <c r="B6" s="4" t="inlineStr">
        <is>
          <t>Mkt Cap</t>
        </is>
      </c>
      <c r="C6" s="4" t="inlineStr">
        <is>
          <t>EV</t>
        </is>
      </c>
      <c r="D6" s="4" t="inlineStr">
        <is>
          <t>EV / Rev</t>
        </is>
      </c>
      <c r="E6" s="4" t="inlineStr">
        <is>
          <t>EV / EBITDA</t>
        </is>
      </c>
      <c r="F6" s="4" t="inlineStr">
        <is>
          <t>P/E (TTM)</t>
        </is>
      </c>
      <c r="G6" s="4" t="inlineStr">
        <is>
          <t>Fwd P/E</t>
        </is>
      </c>
      <c r="H6" s="4" t="inlineStr">
        <is>
          <t>Comment</t>
        </is>
      </c>
    </row>
    <row r="7">
      <c r="A7" s="5" t="inlineStr">
        <is>
          <t>Alphabet</t>
        </is>
      </c>
      <c r="B7" s="11">
        <f>Inputs!C7</f>
        <v/>
      </c>
      <c r="C7" s="11">
        <f>Inputs!C7+Inputs!D7</f>
        <v/>
      </c>
      <c r="D7" s="16">
        <f>(Inputs!C7+Inputs!D7)/Inputs!E7</f>
        <v/>
      </c>
      <c r="E7" s="16">
        <f>IF(Inputs!H7&gt;0,(Inputs!C7+Inputs!D7)/Inputs!H7,"NM")</f>
        <v/>
      </c>
      <c r="F7" s="16">
        <f>IF(Inputs!I7&gt;0,Inputs!C7/Inputs!I7,"NM")</f>
        <v/>
      </c>
      <c r="G7" s="16">
        <f>Inputs!J7</f>
        <v/>
      </c>
      <c r="H7" s="17" t="inlineStr">
        <is>
          <t>Target. Cheap on fwd P/E (~24x) vs the mega-cap median; DCF base $213 &lt;&lt; $358 (FY26 capex spike).</t>
        </is>
      </c>
    </row>
    <row r="8">
      <c r="A8" s="5" t="inlineStr">
        <is>
          <t>Meta Platforms</t>
        </is>
      </c>
      <c r="B8" s="11">
        <f>Inputs!C8</f>
        <v/>
      </c>
      <c r="C8" s="11">
        <f>Inputs!C8+Inputs!D8</f>
        <v/>
      </c>
      <c r="D8" s="16">
        <f>(Inputs!C8+Inputs!D8)/Inputs!E8</f>
        <v/>
      </c>
      <c r="E8" s="16">
        <f>IF(Inputs!H8&gt;0,(Inputs!C8+Inputs!D8)/Inputs!H8,"NM")</f>
        <v/>
      </c>
      <c r="F8" s="16">
        <f>IF(Inputs!I8&gt;0,Inputs!C8/Inputs!I8,"NM")</f>
        <v/>
      </c>
      <c r="G8" s="16">
        <f>Inputs!J8</f>
        <v/>
      </c>
      <c r="H8" s="17" t="inlineStr">
        <is>
          <t>Cheapest fwd P/E (~18x) in the mega-cap set; Reality Labs $4B/qtr drag.</t>
        </is>
      </c>
    </row>
    <row r="9">
      <c r="A9" s="5" t="inlineStr">
        <is>
          <t>Microsoft</t>
        </is>
      </c>
      <c r="B9" s="11">
        <f>Inputs!C9</f>
        <v/>
      </c>
      <c r="C9" s="11">
        <f>Inputs!C9+Inputs!D9</f>
        <v/>
      </c>
      <c r="D9" s="16">
        <f>(Inputs!C9+Inputs!D9)/Inputs!E9</f>
        <v/>
      </c>
      <c r="E9" s="16">
        <f>IF(Inputs!H9&gt;0,(Inputs!C9+Inputs!D9)/Inputs!H9,"NM")</f>
        <v/>
      </c>
      <c r="F9" s="16">
        <f>IF(Inputs!I9&gt;0,Inputs!C9/Inputs!I9,"NM")</f>
        <v/>
      </c>
      <c r="G9" s="16">
        <f>Inputs!J9</f>
        <v/>
      </c>
      <c r="H9" s="17" t="inlineStr">
        <is>
          <t>Premium for Azure +40% + OpenAI exposure; $190B FY26 capex absorbs cash.</t>
        </is>
      </c>
    </row>
    <row r="10">
      <c r="A10" s="5" t="inlineStr">
        <is>
          <t>Amazon</t>
        </is>
      </c>
      <c r="B10" s="11">
        <f>Inputs!C10</f>
        <v/>
      </c>
      <c r="C10" s="11">
        <f>Inputs!C10+Inputs!D10</f>
        <v/>
      </c>
      <c r="D10" s="16">
        <f>(Inputs!C10+Inputs!D10)/Inputs!E10</f>
        <v/>
      </c>
      <c r="E10" s="16">
        <f>IF(Inputs!H10&gt;0,(Inputs!C10+Inputs!D10)/Inputs!H10,"NM")</f>
        <v/>
      </c>
      <c r="F10" s="16">
        <f>IF(Inputs!I10&gt;0,Inputs!C10/Inputs!I10,"NM")</f>
        <v/>
      </c>
      <c r="G10" s="16">
        <f>Inputs!J10</f>
        <v/>
      </c>
      <c r="H10" s="17" t="inlineStr">
        <is>
          <t>Highest fwd P/E (~30x); AWS +28% reaccel + ads $70B+ TTM; retail margin still thin.</t>
        </is>
      </c>
    </row>
    <row r="11">
      <c r="A11" s="5" t="inlineStr">
        <is>
          <t>Netflix</t>
        </is>
      </c>
      <c r="B11" s="11">
        <f>Inputs!C11</f>
        <v/>
      </c>
      <c r="C11" s="11">
        <f>Inputs!C11+Inputs!D11</f>
        <v/>
      </c>
      <c r="D11" s="16">
        <f>(Inputs!C11+Inputs!D11)/Inputs!E11</f>
        <v/>
      </c>
      <c r="E11" s="16">
        <f>IF(Inputs!H11&gt;0,(Inputs!C11+Inputs!D11)/Inputs!H11,"NM")</f>
        <v/>
      </c>
      <c r="F11" s="16">
        <f>IF(Inputs!I11&gt;0,Inputs!C11/Inputs!I11,"NM")</f>
        <v/>
      </c>
      <c r="G11" s="16">
        <f>Inputs!J11</f>
        <v/>
      </c>
      <c r="H11" s="17" t="inlineStr">
        <is>
          <t>Premium streaming P/E (~26x); subs no longer disclosed; ad business 2x in 2026.</t>
        </is>
      </c>
    </row>
    <row r="12">
      <c r="A12" s="5" t="inlineStr">
        <is>
          <t>The Trade Desk</t>
        </is>
      </c>
      <c r="B12" s="11">
        <f>Inputs!C12</f>
        <v/>
      </c>
      <c r="C12" s="11">
        <f>Inputs!C12+Inputs!D12</f>
        <v/>
      </c>
      <c r="D12" s="16">
        <f>(Inputs!C12+Inputs!D12)/Inputs!E12</f>
        <v/>
      </c>
      <c r="E12" s="16">
        <f>IF(Inputs!H12&gt;0,(Inputs!C12+Inputs!D12)/Inputs!H12,"NM")</f>
        <v/>
      </c>
      <c r="F12" s="16">
        <f>IF(Inputs!I12&gt;0,Inputs!C12/Inputs!I12,"NM")</f>
        <v/>
      </c>
      <c r="G12" s="16">
        <f>Inputs!J12</f>
        <v/>
      </c>
      <c r="H12" s="17" t="inlineStr">
        <is>
          <t>Memo. Programmatic ad-tech; multiple compressed on deceleration to +12%.</t>
        </is>
      </c>
    </row>
    <row r="13">
      <c r="A13" s="5" t="inlineStr">
        <is>
          <t>Reddit</t>
        </is>
      </c>
      <c r="B13" s="11">
        <f>Inputs!C13</f>
        <v/>
      </c>
      <c r="C13" s="11">
        <f>Inputs!C13+Inputs!D13</f>
        <v/>
      </c>
      <c r="D13" s="16">
        <f>(Inputs!C13+Inputs!D13)/Inputs!E13</f>
        <v/>
      </c>
      <c r="E13" s="16">
        <f>IF(Inputs!H13&gt;0,(Inputs!C13+Inputs!D13)/Inputs!H13,"NM")</f>
        <v/>
      </c>
      <c r="F13" s="16">
        <f>IF(Inputs!I13&gt;0,Inputs!C13/Inputs!I13,"NM")</f>
        <v/>
      </c>
      <c r="G13" s="16">
        <f>Inputs!J13</f>
        <v/>
      </c>
      <c r="H13" s="17" t="inlineStr">
        <is>
          <t>Memo. Hyper-growth (+69% rev) at ~50x P/E; data-licensing revenue accelerating.</t>
        </is>
      </c>
    </row>
    <row r="15">
      <c r="A15" s="13" t="inlineStr">
        <is>
          <t>Maximum</t>
        </is>
      </c>
      <c r="B15" s="14" t="n"/>
      <c r="C15" s="14" t="n"/>
      <c r="D15" s="18">
        <f>MAX(D8:D11)</f>
        <v/>
      </c>
      <c r="E15" s="18">
        <f>MAX(E8:E11)</f>
        <v/>
      </c>
      <c r="F15" s="18">
        <f>MAX(F8:F11)</f>
        <v/>
      </c>
      <c r="G15" s="18">
        <f>MAX(G8:G11)</f>
        <v/>
      </c>
    </row>
    <row r="16">
      <c r="A16" s="13" t="inlineStr">
        <is>
          <t>75th Percentile</t>
        </is>
      </c>
      <c r="B16" s="14" t="n"/>
      <c r="C16" s="14" t="n"/>
      <c r="D16" s="18">
        <f>QUARTILE(D8:D11,3)</f>
        <v/>
      </c>
      <c r="E16" s="18">
        <f>QUARTILE(E8:E11,3)</f>
        <v/>
      </c>
      <c r="F16" s="18">
        <f>QUARTILE(F8:F11,3)</f>
        <v/>
      </c>
      <c r="G16" s="18">
        <f>QUARTILE(G8:G11,3)</f>
        <v/>
      </c>
    </row>
    <row r="17">
      <c r="A17" s="13" t="inlineStr">
        <is>
          <t>Median</t>
        </is>
      </c>
      <c r="B17" s="14" t="n"/>
      <c r="C17" s="14" t="n"/>
      <c r="D17" s="18">
        <f>MEDIAN(D8:D11)</f>
        <v/>
      </c>
      <c r="E17" s="18">
        <f>MEDIAN(E8:E11)</f>
        <v/>
      </c>
      <c r="F17" s="18">
        <f>MEDIAN(F8:F11)</f>
        <v/>
      </c>
      <c r="G17" s="18">
        <f>MEDIAN(G8:G11)</f>
        <v/>
      </c>
    </row>
    <row r="18">
      <c r="A18" s="13" t="inlineStr">
        <is>
          <t>25th Percentile</t>
        </is>
      </c>
      <c r="B18" s="14" t="n"/>
      <c r="C18" s="14" t="n"/>
      <c r="D18" s="18">
        <f>QUARTILE(D8:D11,1)</f>
        <v/>
      </c>
      <c r="E18" s="18">
        <f>QUARTILE(E8:E11,1)</f>
        <v/>
      </c>
      <c r="F18" s="18">
        <f>QUARTILE(F8:F11,1)</f>
        <v/>
      </c>
      <c r="G18" s="18">
        <f>QUARTILE(G8:G11,1)</f>
        <v/>
      </c>
    </row>
    <row r="19">
      <c r="A19" s="13" t="inlineStr">
        <is>
          <t>Minimum</t>
        </is>
      </c>
      <c r="B19" s="14" t="n"/>
      <c r="C19" s="14" t="n"/>
      <c r="D19" s="18">
        <f>MIN(D8:D11)</f>
        <v/>
      </c>
      <c r="E19" s="18">
        <f>MIN(E8:E11)</f>
        <v/>
      </c>
      <c r="F19" s="18">
        <f>MIN(F8:F11)</f>
        <v/>
      </c>
      <c r="G19" s="18">
        <f>MIN(G8:G11)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NOTES &amp; CAVEATS</t>
        </is>
      </c>
    </row>
    <row r="3">
      <c r="A3" s="19" t="inlineStr">
        <is>
          <t>Peer framing</t>
        </is>
      </c>
    </row>
    <row r="4" ht="16" customHeight="1">
      <c r="A4" s="20" t="inlineStr">
        <is>
          <t>Mega-cap cohort (META, MSFT, AMZN, NFLX) is the main stat set — all platform-economy AI capex spenders.</t>
        </is>
      </c>
    </row>
    <row r="5" ht="16" customHeight="1">
      <c r="A5" s="20" t="inlineStr">
        <is>
          <t>TTD and RDDT are ads-pure memo rows — useful frame for the Search/YouTube ad business, but too small for direct multiple read.</t>
        </is>
      </c>
    </row>
    <row r="6" ht="16" customHeight="1">
      <c r="A6" s="20" t="inlineStr">
        <is>
          <t>GOOG is the target. Compare to mega-cap median on fwd P/E (cleanest cross-peer gauge).</t>
        </is>
      </c>
    </row>
    <row r="8">
      <c r="A8" s="19" t="inlineStr">
        <is>
          <t>Data sources</t>
        </is>
      </c>
    </row>
    <row r="9" ht="16" customHeight="1">
      <c r="A9" s="20" t="inlineStr">
        <is>
          <t>All Q1 CY2026 10-Qs / 8-Ks (Apr-May 2026) and FY25 10-Ks. Market data: StockAnalysis / companiesmarketcap / GuruFocus / Macrotrends.</t>
        </is>
      </c>
    </row>
    <row r="10" ht="16" customHeight="1">
      <c r="A10" s="20" t="inlineStr">
        <is>
          <t>MCP terminals not configured. ENS aggregator figures vary 10-20% across sources (esp. TTM EBITDA definitions).</t>
        </is>
      </c>
    </row>
    <row r="12">
      <c r="A12" s="19" t="inlineStr">
        <is>
          <t>Key adjustments / caveats</t>
        </is>
      </c>
    </row>
    <row r="13" ht="16" customHeight="1">
      <c r="A13" s="20" t="inlineStr">
        <is>
          <t>MSFT TTM EBITDA implied from 17.1x EV/EBITDA (no direct disclosure).</t>
        </is>
      </c>
    </row>
    <row r="14" ht="16" customHeight="1">
      <c r="A14" s="20" t="inlineStr">
        <is>
          <t>AMZN TTM NI inflated by Q1 $16.8B Anthropic mark-to-market gain.</t>
        </is>
      </c>
    </row>
    <row r="15" ht="16" customHeight="1">
      <c r="A15" s="20" t="inlineStr">
        <is>
          <t>GOOG TTM NI similarly elevated by Anthropic-related fair-value changes.</t>
        </is>
      </c>
    </row>
    <row r="16" ht="16" customHeight="1">
      <c r="A16" s="20" t="inlineStr">
        <is>
          <t>NFLX EBITDA depends on content amortization treatment; range $14.9B-$31.1B across definitions.</t>
        </is>
      </c>
    </row>
    <row r="17" ht="16" customHeight="1">
      <c r="A17" s="20" t="inlineStr">
        <is>
          <t>Companion: GOOG-Model.xlsx (intrinsic DCF: base $213/share vs $358 market).</t>
        </is>
      </c>
    </row>
  </sheetData>
  <mergeCells count="14">
    <mergeCell ref="A12:E12"/>
    <mergeCell ref="A4:E4"/>
    <mergeCell ref="A16:E16"/>
    <mergeCell ref="A14:E14"/>
    <mergeCell ref="A10:E10"/>
    <mergeCell ref="A15:E15"/>
    <mergeCell ref="A1:E1"/>
    <mergeCell ref="A5:E5"/>
    <mergeCell ref="A13:E13"/>
    <mergeCell ref="A8:E8"/>
    <mergeCell ref="A6:E6"/>
    <mergeCell ref="A17:E17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2026-06-04T06:20:23Z</dcterms:created>
  <dcterms:modified xmlns:dcterms="http://purl.org/dc/terms/" xmlns:xsi="http://www.w3.org/2001/XMLSchema-instance" xsi:type="dcterms:W3CDTF">2026-06-04T06:20:23Z</dcterms:modified>
</cp:coreProperties>
</file>